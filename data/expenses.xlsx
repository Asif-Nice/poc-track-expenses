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Payments" sheetId="2" r:id="rId2"/>
    <sheet name="Summary" sheetId="3" r:id="rId3"/>
  </sheets>
  <definedNames>
    <definedName name="_xlnm._FilterDatabase" localSheetId="0">'Budget'!A1:F58</definedName>
    <definedName name="_xlnm._FilterDatabase" localSheetId="1">'Payments'!A1:H77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10.83203125" customWidth="1"/>
    <col min="2" max="2" width="30.83203125" customWidth="1"/>
    <col min="3" max="3" width="22.83203125" customWidth="1"/>
    <col min="4" max="4" width="14.83203125" customWidth="1"/>
    <col min="5" max="5" width="18.83203125" customWidth="1"/>
    <col min="6" max="6" width="34.83203125" customWidth="1"/>
  </cols>
  <sheetData>
    <row r="1">
      <c r="A1" t="str">
        <v>ID</v>
      </c>
      <c r="B1" t="str">
        <v>Item</v>
      </c>
      <c r="C1" t="str">
        <v>Category</v>
      </c>
      <c r="D1" t="str">
        <v>Estimated</v>
      </c>
      <c r="E1" t="str">
        <v>Contact</v>
      </c>
      <c r="F1" t="str">
        <v>Notes</v>
      </c>
    </row>
    <row r="2">
      <c r="A2" t="str">
        <v>4e1fe7bf</v>
      </c>
      <c r="B2" t="str">
        <v>(Famous &amp; Libas Tailor)Silaee for Abba, Didi, Asif &amp; irfan Bhaijan</v>
      </c>
      <c r="C2" t="str">
        <v>Clothing &amp; Jewellery</v>
      </c>
      <c r="D2" s="1">
        <v>11300</v>
      </c>
      <c r="E2" s="2" t="str">
        <v>9665012980/ 9172324233</v>
      </c>
      <c r="F2" t="str">
        <v>Silaee for Abba, Didi, Asif &amp; irfan Bhaijan</v>
      </c>
    </row>
    <row r="3">
      <c r="A3" t="str">
        <v>7e3ae131</v>
      </c>
      <c r="B3" t="str">
        <v>(Mumbai Textile &amp; Parag) Bade Abba, Anis, Navshad &amp; Salima Dress</v>
      </c>
      <c r="C3" t="str">
        <v>Clothing &amp; Jewellery</v>
      </c>
      <c r="D3" s="1">
        <v>4080</v>
      </c>
      <c r="E3" s="2" t="str">
        <v/>
      </c>
      <c r="F3" t="str">
        <v>(Mumbai Textile &amp; Parag) Bade Abba, Anis, Navshad &amp; Salima Dress</v>
      </c>
    </row>
    <row r="4">
      <c r="A4" t="str">
        <v>1bb495b6</v>
      </c>
      <c r="B4" t="str">
        <v>23 Aug Basta lunch at Shahidawat</v>
      </c>
      <c r="C4" t="str">
        <v>Food &amp; Catering</v>
      </c>
      <c r="D4" s="1">
        <v>2545</v>
      </c>
      <c r="E4" s="2" t="str">
        <v/>
      </c>
      <c r="F4" t="str">
        <v>23 Aug Basta lunch</v>
      </c>
    </row>
    <row r="5">
      <c r="A5" t="str">
        <v>70d7465c</v>
      </c>
      <c r="B5" t="str">
        <v>3 kg asli ghee</v>
      </c>
      <c r="C5" t="str">
        <v>Food &amp; Catering</v>
      </c>
      <c r="D5" s="1">
        <v>1830</v>
      </c>
      <c r="E5" s="2" t="str">
        <v/>
      </c>
      <c r="F5" t="str">
        <v/>
      </c>
    </row>
    <row r="6">
      <c r="A6" t="str">
        <v>bae4068a</v>
      </c>
      <c r="B6" t="str">
        <v>A S leather zone - Groom jacket</v>
      </c>
      <c r="C6" t="str">
        <v>Clothing &amp; Jewellery</v>
      </c>
      <c r="D6" s="1">
        <v>3500</v>
      </c>
      <c r="E6" s="2" t="str">
        <v>08087832131</v>
      </c>
      <c r="F6" t="str">
        <v>Groom pre wedding jacket</v>
      </c>
    </row>
    <row r="7">
      <c r="A7" t="str">
        <v>aaedf833</v>
      </c>
      <c r="B7" t="str">
        <v>Aluminum Shop Partition</v>
      </c>
      <c r="C7" t="str">
        <v>Miscellaneous</v>
      </c>
      <c r="D7" s="1">
        <v>23000</v>
      </c>
      <c r="E7" s="2" t="str">
        <v>8446627171</v>
      </c>
      <c r="F7" t="str">
        <v>Aluminum Shop Partition</v>
      </c>
    </row>
    <row r="8">
      <c r="A8" t="str">
        <v>985ce939</v>
      </c>
      <c r="B8" t="str">
        <v>Arbiya &amp; Didi Sandle</v>
      </c>
      <c r="C8" t="str">
        <v>Clothing &amp; Jewellery</v>
      </c>
      <c r="D8" s="1">
        <v>1300</v>
      </c>
      <c r="E8" s="2" t="str">
        <v/>
      </c>
      <c r="F8" t="str">
        <v>Arbiya &amp; Didi Sangle</v>
      </c>
    </row>
    <row r="9">
      <c r="A9" t="str">
        <v>a036f9f7</v>
      </c>
      <c r="B9" t="str">
        <v>Arbiya Bangals</v>
      </c>
      <c r="C9" t="str">
        <v>Clothing &amp; Jewellery</v>
      </c>
      <c r="D9" s="1">
        <v>550</v>
      </c>
      <c r="E9" s="2" t="str">
        <v/>
      </c>
      <c r="F9" t="str">
        <v>Arbiya Bangals</v>
      </c>
    </row>
    <row r="10">
      <c r="A10" t="str">
        <v>f68b08a7</v>
      </c>
      <c r="B10" t="str">
        <v>Asif Radimant dress, jokey inner ware, white tighty, sliper</v>
      </c>
      <c r="C10" t="str">
        <v>Clothing &amp; Jewellery</v>
      </c>
      <c r="D10" s="1">
        <v>7100</v>
      </c>
      <c r="E10" s="2" t="str">
        <v/>
      </c>
      <c r="F10" t="str">
        <v/>
      </c>
    </row>
    <row r="11">
      <c r="A11" t="str">
        <v>0e8bf89b</v>
      </c>
      <c r="B11" t="str">
        <v>Bari ka saman</v>
      </c>
      <c r="C11" t="str">
        <v>Gifts &amp; Return Gifts</v>
      </c>
      <c r="D11" s="1">
        <v>2200</v>
      </c>
      <c r="E11" s="2" t="str">
        <v/>
      </c>
      <c r="F11" t="str">
        <v>Bari ka saman</v>
      </c>
    </row>
    <row r="12">
      <c r="A12" t="str">
        <v>1aa31869</v>
      </c>
      <c r="B12" t="str">
        <v>Bhavesh Treaders (karele &amp; javas)</v>
      </c>
      <c r="C12" t="str">
        <v>Food &amp; Catering</v>
      </c>
      <c r="D12" s="1">
        <v>270</v>
      </c>
      <c r="E12" s="2" t="str">
        <v/>
      </c>
      <c r="F12" t="str">
        <v>Bhavesh Treaders (karele &amp; javas)</v>
      </c>
    </row>
    <row r="13">
      <c r="A13" t="str">
        <v>0beedebe</v>
      </c>
      <c r="B13" t="str">
        <v>Bhavesh Treaders (kirana)</v>
      </c>
      <c r="C13" t="str">
        <v>Food &amp; Catering</v>
      </c>
      <c r="D13" s="1">
        <v>4600</v>
      </c>
      <c r="E13" s="2" t="str">
        <v/>
      </c>
      <c r="F13" t="str">
        <v>Bhavesh Treaders (kirana)</v>
      </c>
    </row>
    <row r="14">
      <c r="A14" t="str">
        <v>c1c67a32</v>
      </c>
      <c r="B14" t="str">
        <v>car decoration, Dj, Petrol, Haldi Celender</v>
      </c>
      <c r="C14" t="str">
        <v>Decoration</v>
      </c>
      <c r="D14" s="1">
        <v>30000</v>
      </c>
      <c r="E14" s="2" t="str">
        <v/>
      </c>
      <c r="F14" t="str">
        <v/>
      </c>
    </row>
    <row r="15">
      <c r="A15" t="str">
        <v>22ff3fb2</v>
      </c>
      <c r="B15" t="str">
        <v>chair arrangment soyarik gardan</v>
      </c>
      <c r="C15" t="str">
        <v>Venue &amp; Hall</v>
      </c>
      <c r="D15" s="1">
        <v>3000</v>
      </c>
      <c r="E15" s="2" t="str">
        <v/>
      </c>
      <c r="F15" t="str">
        <v/>
      </c>
    </row>
    <row r="16">
      <c r="A16" t="str">
        <v>2a74d868</v>
      </c>
      <c r="B16" t="str">
        <v>Colour &amp; plumber</v>
      </c>
      <c r="C16" t="str">
        <v>Miscellaneous</v>
      </c>
      <c r="D16" s="1">
        <v>800</v>
      </c>
      <c r="E16" s="2" t="str">
        <v/>
      </c>
      <c r="F16" t="str">
        <v/>
      </c>
    </row>
    <row r="17">
      <c r="A17" t="str">
        <v>0cf8885b</v>
      </c>
      <c r="B17" t="str">
        <v>Crackers</v>
      </c>
      <c r="C17" t="str">
        <v>Music &amp; Entertainment</v>
      </c>
      <c r="D17" s="1">
        <v>5500</v>
      </c>
      <c r="E17" s="2" t="str">
        <v>+91 86557 63847</v>
      </c>
      <c r="F17" t="str">
        <v/>
      </c>
    </row>
    <row r="18">
      <c r="A18" t="str">
        <v>05d27deb</v>
      </c>
      <c r="B18" t="str">
        <v>Cream House Lunch</v>
      </c>
      <c r="C18" t="str">
        <v>Food &amp; Catering</v>
      </c>
      <c r="D18" s="1">
        <v>1124</v>
      </c>
      <c r="E18" s="2" t="str">
        <v/>
      </c>
      <c r="F18" t="str">
        <v>Cream House Lunch</v>
      </c>
    </row>
    <row r="19">
      <c r="A19" t="str">
        <v>631875ca</v>
      </c>
      <c r="B19" t="str">
        <v>Day night Flower Decoration - (hall)</v>
      </c>
      <c r="C19" t="str">
        <v>Decoration</v>
      </c>
      <c r="D19" s="1">
        <v>161000</v>
      </c>
      <c r="E19" s="2" t="str">
        <v>9536673041</v>
      </c>
      <c r="F19" t="str">
        <v>Hall decoration</v>
      </c>
    </row>
    <row r="20">
      <c r="A20" t="str">
        <v>d5fe8bfd</v>
      </c>
      <c r="B20" t="str">
        <v>Famous cotton- Pathani 9</v>
      </c>
      <c r="C20" t="str">
        <v>Clothing &amp; Jewellery</v>
      </c>
      <c r="D20" s="1">
        <v>12150</v>
      </c>
      <c r="E20" s="2" t="str">
        <v/>
      </c>
      <c r="F20" t="str">
        <v>Famous cotton- Pathani 9</v>
      </c>
    </row>
    <row r="21">
      <c r="A21" t="str">
        <v>9a8449e7</v>
      </c>
      <c r="B21" t="str">
        <v>Famous Tailor - Groom Reception dress</v>
      </c>
      <c r="C21" t="str">
        <v>Clothing &amp; Jewellery</v>
      </c>
      <c r="D21" s="1">
        <v>10000</v>
      </c>
      <c r="E21" s="2" t="str">
        <v>9665012980</v>
      </c>
      <c r="F21" t="str">
        <v>Groom Reception dress</v>
      </c>
    </row>
    <row r="22">
      <c r="A22" t="str">
        <v>070f7b33</v>
      </c>
      <c r="B22" t="str">
        <v>Food at shopping time</v>
      </c>
      <c r="C22" t="str">
        <v>Miscellaneous</v>
      </c>
      <c r="D22" s="1">
        <v>2609</v>
      </c>
      <c r="E22" s="2" t="str">
        <v/>
      </c>
      <c r="F22" t="str">
        <v>Blue Nile &amp; Seasons mall</v>
      </c>
    </row>
    <row r="23">
      <c r="A23" t="str">
        <v>4d3bd5b1</v>
      </c>
      <c r="B23" t="str">
        <v>Ganesh Bhondve Mandva + decoration</v>
      </c>
      <c r="C23" t="str">
        <v>Decoration</v>
      </c>
      <c r="D23" s="1">
        <v>39500</v>
      </c>
      <c r="E23" s="2" t="str">
        <v>9168993010</v>
      </c>
      <c r="F23" t="str">
        <v/>
      </c>
    </row>
    <row r="24">
      <c r="A24" t="str">
        <v>766bfdf7</v>
      </c>
      <c r="B24" t="str">
        <v>Garva Biryani, hardware expense, flower</v>
      </c>
      <c r="C24" t="str">
        <v>Miscellaneous</v>
      </c>
      <c r="D24" s="1">
        <v>410</v>
      </c>
      <c r="E24" s="2" t="str">
        <v/>
      </c>
      <c r="F24" t="str">
        <v/>
      </c>
    </row>
    <row r="25">
      <c r="A25" t="str">
        <v>209d43b7</v>
      </c>
      <c r="B25" t="str">
        <v>Groom haircut and other saloon expences</v>
      </c>
      <c r="C25" t="str">
        <v>Beauty &amp; Mehendi</v>
      </c>
      <c r="D25" s="1">
        <v>500</v>
      </c>
      <c r="E25" s="2" t="str">
        <v/>
      </c>
      <c r="F25" t="str">
        <v>Groom haircut and other saloon expences</v>
      </c>
    </row>
    <row r="26">
      <c r="A26" t="str">
        <v>168b7bbd</v>
      </c>
      <c r="B26" t="str">
        <v>Huseni Caterers</v>
      </c>
      <c r="C26" t="str">
        <v>Food &amp; Catering</v>
      </c>
      <c r="D26" s="1">
        <v>575000</v>
      </c>
      <c r="E26" s="2" t="str">
        <v>9226111899</v>
      </c>
      <c r="F26" t="str">
        <v>Reception food</v>
      </c>
    </row>
    <row r="27">
      <c r="A27" t="str">
        <v>dc70b2a1</v>
      </c>
      <c r="B27" t="str">
        <v>Ice Cream, vada pav, Irani Cafe, Milk</v>
      </c>
      <c r="C27" t="str">
        <v>Food &amp; Catering</v>
      </c>
      <c r="D27" s="1">
        <v>3000</v>
      </c>
      <c r="E27" s="2" t="str">
        <v/>
      </c>
      <c r="F27" t="str">
        <v>internal expense</v>
      </c>
    </row>
    <row r="28">
      <c r="A28" t="str">
        <v>aa710190</v>
      </c>
      <c r="B28" t="str">
        <v>Invitation Card (Shubham)</v>
      </c>
      <c r="C28" t="str">
        <v>Invitations &amp; Printing</v>
      </c>
      <c r="D28" s="1">
        <v>1500</v>
      </c>
      <c r="E28" s="2" t="str">
        <v>7385125161</v>
      </c>
      <c r="F28" t="str">
        <v>Invitation Card (Shubham)  100</v>
      </c>
    </row>
    <row r="29">
      <c r="A29" t="str">
        <v>1e95c55a</v>
      </c>
      <c r="B29" t="str">
        <v>Invitation Card (treaditional)</v>
      </c>
      <c r="C29" t="str">
        <v>Invitations &amp; Printing</v>
      </c>
      <c r="D29" s="1">
        <v>3675</v>
      </c>
      <c r="E29" s="2" t="str">
        <v>9890326266</v>
      </c>
      <c r="F29" t="str">
        <v>Invitation Card (treaditional)</v>
      </c>
    </row>
    <row r="30">
      <c r="A30" t="str">
        <v>99d3617a</v>
      </c>
      <c r="B30" t="str">
        <v>Lucky Mattan Shop (Bakra for haldi)</v>
      </c>
      <c r="C30" t="str">
        <v>Food &amp; Catering</v>
      </c>
      <c r="D30" s="1">
        <v>10000</v>
      </c>
      <c r="E30" s="2" t="str">
        <v/>
      </c>
      <c r="F30" t="str">
        <v>Rahim</v>
      </c>
    </row>
    <row r="31">
      <c r="A31" t="str">
        <v>f7330587</v>
      </c>
      <c r="B31" t="str">
        <v>Lunch After Mariage Shiv Sunder</v>
      </c>
      <c r="C31" t="str">
        <v>Food &amp; Catering</v>
      </c>
      <c r="D31" s="1">
        <v>2700</v>
      </c>
      <c r="E31" s="2" t="str">
        <v/>
      </c>
      <c r="F31" t="str">
        <v/>
      </c>
    </row>
    <row r="32">
      <c r="A32" t="str">
        <v>08cd3226</v>
      </c>
      <c r="B32" t="str">
        <v>Meher Amount</v>
      </c>
      <c r="C32" t="str">
        <v>Gifts &amp; Return Gifts</v>
      </c>
      <c r="D32" s="1">
        <v>11111</v>
      </c>
      <c r="E32" s="2" t="str">
        <v/>
      </c>
      <c r="F32" t="str">
        <v/>
      </c>
    </row>
    <row r="33">
      <c r="A33" t="str">
        <v>a1def8e4</v>
      </c>
      <c r="B33" t="str">
        <v>miscellaneous ratjaka (chicken, tags, bartan)</v>
      </c>
      <c r="C33" t="str">
        <v>Venue &amp; Hall</v>
      </c>
      <c r="D33" s="1">
        <v>5412</v>
      </c>
      <c r="E33" s="2" t="str">
        <v/>
      </c>
      <c r="F33" t="str">
        <v/>
      </c>
    </row>
    <row r="34">
      <c r="A34" t="str">
        <v>87751d8e</v>
      </c>
      <c r="B34" t="str">
        <v>Mom Miscellaneous Bangals, Area cleaning other expence</v>
      </c>
      <c r="C34" t="str">
        <v>Miscellaneous</v>
      </c>
      <c r="D34" s="1">
        <v>15000</v>
      </c>
      <c r="E34" s="2" t="str">
        <v/>
      </c>
      <c r="F34" t="str">
        <v/>
      </c>
    </row>
    <row r="35">
      <c r="A35" t="str">
        <v>c7e8b352</v>
      </c>
      <c r="B35" t="str">
        <v>Moolchand - Bride reception dress</v>
      </c>
      <c r="C35" t="str">
        <v>Clothing &amp; Jewellery</v>
      </c>
      <c r="D35" s="1">
        <v>7604</v>
      </c>
      <c r="E35" s="2" t="str">
        <v/>
      </c>
      <c r="F35" t="str">
        <v>Bride reception dress</v>
      </c>
    </row>
    <row r="36">
      <c r="A36" t="str">
        <v>2c67b679</v>
      </c>
      <c r="B36" t="str">
        <v>Moolchand Sarees basta</v>
      </c>
      <c r="C36" t="str">
        <v>Clothing &amp; Jewellery</v>
      </c>
      <c r="D36" s="1">
        <v>24880</v>
      </c>
      <c r="E36" s="2" t="str">
        <v/>
      </c>
      <c r="F36" t="str">
        <v>Moolchand Sarees for basta</v>
      </c>
    </row>
    <row r="37">
      <c r="A37" t="str">
        <v>068998a3</v>
      </c>
      <c r="B37" t="str">
        <v>Morya Collections - Groom wedding dress</v>
      </c>
      <c r="C37" t="str">
        <v>Clothing &amp; Jewellery</v>
      </c>
      <c r="D37" s="1">
        <v>13680</v>
      </c>
      <c r="E37" s="2" t="str">
        <v/>
      </c>
      <c r="F37" t="str">
        <v>Groom wedding dress</v>
      </c>
    </row>
    <row r="38">
      <c r="A38" t="str">
        <v>a78dd739</v>
      </c>
      <c r="B38" t="str">
        <v>Morya mojadii</v>
      </c>
      <c r="C38" t="str">
        <v>Clothing &amp; Jewellery</v>
      </c>
      <c r="D38" s="1">
        <v>400</v>
      </c>
      <c r="E38" s="2" t="str">
        <v/>
      </c>
      <c r="F38" t="str">
        <v>Shoes</v>
      </c>
    </row>
    <row r="39">
      <c r="A39" t="str">
        <v>b1e7073e</v>
      </c>
      <c r="B39" t="str">
        <v>Mummy Hospital Expence Mate Docter</v>
      </c>
      <c r="C39" t="str">
        <v>Miscellaneous</v>
      </c>
      <c r="D39" s="1">
        <v>2900</v>
      </c>
      <c r="E39" s="2" t="str">
        <v/>
      </c>
      <c r="F39" t="str">
        <v/>
      </c>
    </row>
    <row r="40">
      <c r="A40" t="str">
        <v>30b69ec5</v>
      </c>
      <c r="B40" t="str">
        <v>Mummy sadi</v>
      </c>
      <c r="C40" t="str">
        <v>Clothing &amp; Jewellery</v>
      </c>
      <c r="D40" s="1">
        <v>1600</v>
      </c>
      <c r="E40" s="2" t="str">
        <v/>
      </c>
      <c r="F40" t="str">
        <v/>
      </c>
    </row>
    <row r="41">
      <c r="A41" t="str">
        <v>f31def6e</v>
      </c>
      <c r="B41" t="str">
        <v>Music in reception &amp; sangit</v>
      </c>
      <c r="C41" t="str">
        <v>Music &amp; Entertainment</v>
      </c>
      <c r="D41" s="1">
        <v>13000</v>
      </c>
      <c r="E41" s="2" t="str">
        <v/>
      </c>
      <c r="F41" t="str">
        <v/>
      </c>
    </row>
    <row r="42">
      <c r="A42" t="str">
        <v>eebc3aaf</v>
      </c>
      <c r="B42" t="str">
        <v>Navkar Sales Corporation</v>
      </c>
      <c r="C42" t="str">
        <v>Food &amp; Catering</v>
      </c>
      <c r="D42" s="1">
        <v>8649</v>
      </c>
      <c r="E42" s="2" t="str">
        <v/>
      </c>
      <c r="F42" t="str">
        <v>Navkar Sales Corporation</v>
      </c>
    </row>
    <row r="43">
      <c r="A43" t="str">
        <v>e6b755dc</v>
      </c>
      <c r="B43" t="str">
        <v>New Balaji Treaders</v>
      </c>
      <c r="C43" t="str">
        <v>Food &amp; Catering</v>
      </c>
      <c r="D43" s="1">
        <v>575</v>
      </c>
      <c r="E43" s="2" t="str">
        <v/>
      </c>
      <c r="F43" t="str">
        <v>New Balaji Treaders</v>
      </c>
    </row>
    <row r="44">
      <c r="A44" t="str">
        <v>113a1c1a</v>
      </c>
      <c r="B44" t="str">
        <v>Parag bride 3 dress</v>
      </c>
      <c r="C44" t="str">
        <v>Clothing &amp; Jewellery</v>
      </c>
      <c r="D44" s="1">
        <v>5700</v>
      </c>
      <c r="E44" s="2" t="str">
        <v/>
      </c>
      <c r="F44" t="str">
        <v>bride 3 dress</v>
      </c>
    </row>
    <row r="45">
      <c r="A45" t="str">
        <v>7896f0b1</v>
      </c>
      <c r="B45" t="str">
        <v>Parag Relative 20 dressed &amp; other cloths</v>
      </c>
      <c r="C45" t="str">
        <v>Clothing &amp; Jewellery</v>
      </c>
      <c r="D45" s="1">
        <v>24000</v>
      </c>
      <c r="E45" s="2" t="str">
        <v/>
      </c>
      <c r="F45" t="str">
        <v>Parag Relative 20 dressed &amp; other cloths</v>
      </c>
    </row>
    <row r="46">
      <c r="A46" t="str">
        <v>0421ab42</v>
      </c>
      <c r="B46" t="str">
        <v>Petrol Glanza</v>
      </c>
      <c r="C46" t="str">
        <v>Miscellaneous</v>
      </c>
      <c r="D46" s="1">
        <v>4000</v>
      </c>
      <c r="E46" s="2" t="str">
        <v/>
      </c>
      <c r="F46" t="str">
        <v/>
      </c>
    </row>
    <row r="47">
      <c r="A47" t="str">
        <v>84c049af</v>
      </c>
      <c r="B47" t="str">
        <v>Petrol Glanza, Himalyan, PUC, Wheel Alingment, Engine cover Advance</v>
      </c>
      <c r="C47" t="str">
        <v>Transport</v>
      </c>
      <c r="D47" s="1">
        <v>4000</v>
      </c>
      <c r="E47" s="2" t="str">
        <v/>
      </c>
      <c r="F47" t="str">
        <v/>
      </c>
    </row>
    <row r="48">
      <c r="A48" t="str">
        <v>beb44857</v>
      </c>
      <c r="B48" t="str">
        <v>Pratap films and Photography</v>
      </c>
      <c r="C48" t="str">
        <v>Photography &amp; Video</v>
      </c>
      <c r="D48" s="1">
        <v>100000</v>
      </c>
      <c r="E48" s="2" t="str">
        <v>9021598286</v>
      </c>
      <c r="F48" t="str">
        <v>Photography cost</v>
      </c>
    </row>
    <row r="49">
      <c r="A49" t="str">
        <v>89c1b231</v>
      </c>
      <c r="B49" t="str">
        <v>Pravin Masale</v>
      </c>
      <c r="C49" t="str">
        <v>Food &amp; Catering</v>
      </c>
      <c r="D49" s="1">
        <v>3345</v>
      </c>
      <c r="E49" s="2" t="str">
        <v/>
      </c>
      <c r="F49" t="str">
        <v>Pravin Masale</v>
      </c>
    </row>
    <row r="50">
      <c r="A50" t="str">
        <v>6d180155</v>
      </c>
      <c r="B50" t="str">
        <v>Prewedding shoot expences(lunch, fuel and other)</v>
      </c>
      <c r="C50" t="str">
        <v>Miscellaneous</v>
      </c>
      <c r="D50" s="1">
        <v>11840</v>
      </c>
      <c r="E50" s="2" t="str">
        <v/>
      </c>
      <c r="F50" t="str">
        <v>Prewedding shoot expences(lunch, fuel and other)</v>
      </c>
    </row>
    <row r="51">
      <c r="A51" t="str">
        <v>5ddff322</v>
      </c>
      <c r="B51" t="str">
        <v>Sehera, Har, Guche &amp; Gajre</v>
      </c>
      <c r="C51" t="str">
        <v>Decoration</v>
      </c>
      <c r="D51" s="1">
        <v>9000</v>
      </c>
      <c r="E51" s="2" t="str">
        <v/>
      </c>
      <c r="F51" t="str">
        <v/>
      </c>
    </row>
    <row r="52">
      <c r="A52" t="str">
        <v>c047acbd</v>
      </c>
      <c r="B52" t="str">
        <v>Shadi &amp; reception Rasam</v>
      </c>
      <c r="C52" t="str">
        <v>Gifts &amp; Return Gifts</v>
      </c>
      <c r="D52" s="1">
        <v>6000</v>
      </c>
      <c r="E52" s="2" t="str">
        <v/>
      </c>
      <c r="F52" t="str">
        <v/>
      </c>
    </row>
    <row r="53">
      <c r="A53" t="str">
        <v>d1aee56d</v>
      </c>
      <c r="B53" t="str">
        <v>Shireen Dress</v>
      </c>
      <c r="C53" t="str">
        <v>Clothing &amp; Jewellery</v>
      </c>
      <c r="D53" s="1">
        <v>2000</v>
      </c>
      <c r="E53" s="2" t="str">
        <v/>
      </c>
      <c r="F53" t="str">
        <v>Shireen Dress</v>
      </c>
    </row>
    <row r="54">
      <c r="A54" t="str">
        <v>04ece648</v>
      </c>
      <c r="B54" t="str">
        <v>Soyarik mangal karyalay</v>
      </c>
      <c r="C54" t="str">
        <v>Venue &amp; Hall</v>
      </c>
      <c r="D54" s="1">
        <v>105000</v>
      </c>
      <c r="E54" s="2" t="str">
        <v>9850444117</v>
      </c>
      <c r="F54" t="str">
        <v>venue for reception</v>
      </c>
    </row>
    <row r="55">
      <c r="A55" t="str">
        <v>bd5f8d26</v>
      </c>
      <c r="B55" t="str">
        <v>Star Bazaar - Prewedding dress</v>
      </c>
      <c r="C55" t="str">
        <v>Clothing &amp; Jewellery</v>
      </c>
      <c r="D55" s="1">
        <v>6190</v>
      </c>
      <c r="E55" s="2" t="str">
        <v/>
      </c>
      <c r="F55" t="str">
        <v>Prewedding dress</v>
      </c>
    </row>
    <row r="56">
      <c r="A56" t="str">
        <v>9b3747da</v>
      </c>
      <c r="B56" t="str">
        <v>tampo traveller</v>
      </c>
      <c r="C56" t="str">
        <v>Transport</v>
      </c>
      <c r="D56" s="1">
        <v>7500</v>
      </c>
      <c r="E56" s="2" t="str">
        <v/>
      </c>
      <c r="F56" t="str">
        <v/>
      </c>
    </row>
    <row r="57">
      <c r="A57" t="str">
        <v>db4969e8</v>
      </c>
      <c r="B57" t="str">
        <v>Tushar Traders Oil</v>
      </c>
      <c r="C57" t="str">
        <v>Food &amp; Catering</v>
      </c>
      <c r="D57" s="1">
        <v>5100</v>
      </c>
      <c r="E57" s="2" t="str">
        <v/>
      </c>
      <c r="F57" t="str">
        <v>Tushar Traders Oil</v>
      </c>
    </row>
    <row r="58">
      <c r="A58" t="str">
        <v>9961a7bb</v>
      </c>
      <c r="B58" t="str">
        <v>Untracked expenses Petrol, Food, small bills</v>
      </c>
      <c r="C58" t="str">
        <v>Miscellaneous</v>
      </c>
      <c r="D58" s="1">
        <v>9150</v>
      </c>
      <c r="E58" s="2" t="str">
        <v/>
      </c>
      <c r="F58" t="str">
        <v/>
      </c>
    </row>
  </sheetData>
  <autoFilter ref="A1:F58"/>
  <ignoredErrors>
    <ignoredError numberStoredAsText="1" sqref="A1:F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2.83203125" customWidth="1"/>
    <col min="5" max="5" width="14.83203125" customWidth="1"/>
    <col min="6" max="6" width="22.83203125" customWidth="1"/>
    <col min="7" max="7" width="16.83203125" customWidth="1"/>
    <col min="8" max="8" width="34.83203125" customWidth="1"/>
  </cols>
  <sheetData>
    <row r="1">
      <c r="A1" t="str">
        <v>ID</v>
      </c>
      <c r="B1" t="str">
        <v>Item ID</v>
      </c>
      <c r="C1" t="str">
        <v>Item</v>
      </c>
      <c r="D1" t="str">
        <v>Date</v>
      </c>
      <c r="E1" t="str">
        <v>Amount</v>
      </c>
      <c r="F1" t="str">
        <v>Paid By</v>
      </c>
      <c r="G1" t="str">
        <v>Payment Method</v>
      </c>
      <c r="H1" t="str">
        <v>Notes</v>
      </c>
    </row>
    <row r="2">
      <c r="A2" t="str">
        <v>7e66fd41</v>
      </c>
      <c r="B2" t="str">
        <v>04ece648</v>
      </c>
      <c r="C2" t="str">
        <v>Soyarik mangal karyalay</v>
      </c>
      <c r="D2" s="3">
        <v>46179</v>
      </c>
      <c r="E2" s="1">
        <v>15000</v>
      </c>
      <c r="F2" t="str">
        <v>Asif Sayyed (Son)</v>
      </c>
      <c r="G2" t="str">
        <v>UPI</v>
      </c>
      <c r="H2" t="str">
        <v>Advance payment</v>
      </c>
    </row>
    <row r="3">
      <c r="A3" t="str">
        <v>e09d33db</v>
      </c>
      <c r="B3" t="str">
        <v>beb44857</v>
      </c>
      <c r="C3" t="str">
        <v>Pratap films and Photography</v>
      </c>
      <c r="D3" s="3">
        <v>46220</v>
      </c>
      <c r="E3" s="1">
        <v>10000</v>
      </c>
      <c r="F3" t="str">
        <v>Asif Sayyed (Son)</v>
      </c>
      <c r="G3" t="str">
        <v>UPI</v>
      </c>
      <c r="H3" t="str">
        <v>Advance payment</v>
      </c>
    </row>
    <row r="4">
      <c r="A4" t="str">
        <v>ab012a97</v>
      </c>
      <c r="B4" t="str">
        <v>113a1c1a</v>
      </c>
      <c r="C4" t="str">
        <v>Parag bride 3 dress</v>
      </c>
      <c r="D4" s="3">
        <v>46221</v>
      </c>
      <c r="E4" s="1">
        <v>5700</v>
      </c>
      <c r="F4" t="str">
        <v>Waheeda (mother)</v>
      </c>
      <c r="G4" t="str">
        <v>UPI</v>
      </c>
      <c r="H4" t="str">
        <v>dress payment</v>
      </c>
    </row>
    <row r="5">
      <c r="A5" t="str">
        <v>25d50b92</v>
      </c>
      <c r="B5" t="str">
        <v>bd5f8d26</v>
      </c>
      <c r="C5" t="str">
        <v>Star Bazaar - Prewedding dress</v>
      </c>
      <c r="D5" s="3">
        <v>46229</v>
      </c>
      <c r="E5" s="1">
        <v>6190</v>
      </c>
      <c r="F5" t="str">
        <v>Asif Sayyed (Son)</v>
      </c>
      <c r="G5" t="str">
        <v>UPI</v>
      </c>
      <c r="H5" t="str">
        <v>Prewedding dress payment</v>
      </c>
    </row>
    <row r="6">
      <c r="A6" t="str">
        <v>278bdc7e</v>
      </c>
      <c r="B6" t="str">
        <v>070f7b33</v>
      </c>
      <c r="C6" t="str">
        <v>Food at shopping time</v>
      </c>
      <c r="D6" s="3">
        <v>46229</v>
      </c>
      <c r="E6" s="1">
        <v>2609</v>
      </c>
      <c r="F6" t="str">
        <v>Asif Sayyed (Son)</v>
      </c>
      <c r="G6" t="str">
        <v>UPI</v>
      </c>
      <c r="H6" t="str">
        <v>Blue Nile and Seasons mall</v>
      </c>
    </row>
    <row r="7">
      <c r="A7" t="str">
        <v>3aeac8ad</v>
      </c>
      <c r="B7" t="str">
        <v>168b7bbd</v>
      </c>
      <c r="C7" t="str">
        <v>Huseni Caterers</v>
      </c>
      <c r="D7" s="3">
        <v>46233</v>
      </c>
      <c r="E7" s="1">
        <v>50000</v>
      </c>
      <c r="F7" t="str">
        <v>Umar Sayyed (Father)</v>
      </c>
      <c r="G7" t="str">
        <v>Cash</v>
      </c>
      <c r="H7" t="str">
        <v>Food Advance</v>
      </c>
    </row>
    <row r="8">
      <c r="A8" t="str">
        <v>60cefa3a</v>
      </c>
      <c r="B8" t="str">
        <v>c7e8b352</v>
      </c>
      <c r="C8" t="str">
        <v>Moolchand - Bride reception dress</v>
      </c>
      <c r="D8" s="3">
        <v>46233</v>
      </c>
      <c r="E8" s="1">
        <v>7604</v>
      </c>
      <c r="F8" t="str">
        <v>Asif Sayyed (Son)</v>
      </c>
      <c r="G8" t="str">
        <v>UPI</v>
      </c>
      <c r="H8" t="str">
        <v>Bride reception dress</v>
      </c>
    </row>
    <row r="9">
      <c r="A9" t="str">
        <v>2c7813c2</v>
      </c>
      <c r="B9" t="str">
        <v>068998a3</v>
      </c>
      <c r="C9" t="str">
        <v>Morya Collections - Groom wedding dress</v>
      </c>
      <c r="D9" s="3">
        <v>46233</v>
      </c>
      <c r="E9" s="1">
        <v>13680</v>
      </c>
      <c r="F9" t="str">
        <v>Asif Sayyed (Son)</v>
      </c>
      <c r="G9" t="str">
        <v>UPI</v>
      </c>
      <c r="H9" t="str">
        <v>Groom wedding dress payment</v>
      </c>
    </row>
    <row r="10">
      <c r="A10" t="str">
        <v>cdec8b54</v>
      </c>
      <c r="B10" t="str">
        <v>bae4068a</v>
      </c>
      <c r="C10" t="str">
        <v>A S leather zone - Groom jacket</v>
      </c>
      <c r="D10" s="3">
        <v>46237</v>
      </c>
      <c r="E10" s="1">
        <v>3500</v>
      </c>
      <c r="F10" t="str">
        <v>Asif Sayyed (Son)</v>
      </c>
      <c r="G10" t="str">
        <v>UPI</v>
      </c>
      <c r="H10" t="str">
        <v>groom jacket</v>
      </c>
    </row>
    <row r="11">
      <c r="A11" t="str">
        <v>8f87c8fa</v>
      </c>
      <c r="B11" t="str">
        <v>9a8449e7</v>
      </c>
      <c r="C11" t="str">
        <v>Famous Tailor - Groom Reception dress</v>
      </c>
      <c r="D11" s="3">
        <v>46240</v>
      </c>
      <c r="E11" s="1">
        <v>10000</v>
      </c>
      <c r="F11" t="str">
        <v>Asif Sayyed (Son)</v>
      </c>
      <c r="G11" t="str">
        <v>UPI</v>
      </c>
      <c r="H11" t="str">
        <v>Groom Reception dress payment</v>
      </c>
    </row>
    <row r="12">
      <c r="A12" t="str">
        <v>2564c285</v>
      </c>
      <c r="B12" t="str">
        <v>631875ca</v>
      </c>
      <c r="C12" t="str">
        <v>Day night Flower Decoration - (hall)</v>
      </c>
      <c r="D12" s="3">
        <v>46240</v>
      </c>
      <c r="E12" s="1">
        <v>15000</v>
      </c>
      <c r="F12" t="str">
        <v>Asif Sayyed (Son)</v>
      </c>
      <c r="G12" t="str">
        <v>UPI</v>
      </c>
      <c r="H12" t="str">
        <v>Advance for hall decoration</v>
      </c>
    </row>
    <row r="13">
      <c r="A13" t="str">
        <v>8ec4c02a</v>
      </c>
      <c r="B13" t="str">
        <v>a78dd739</v>
      </c>
      <c r="C13" t="str">
        <v>Morya mojadii</v>
      </c>
      <c r="D13" s="3">
        <v>46242</v>
      </c>
      <c r="E13" s="1">
        <v>400</v>
      </c>
      <c r="F13" t="str">
        <v>Asif Sayyed (Son)</v>
      </c>
      <c r="G13" t="str">
        <v>UPI</v>
      </c>
      <c r="H13" t="str">
        <v>Shoes</v>
      </c>
    </row>
    <row r="14">
      <c r="A14" t="str">
        <v>59c568fb</v>
      </c>
      <c r="B14" t="str">
        <v>209d43b7</v>
      </c>
      <c r="C14" t="str">
        <v>Groom haircut and other saloon expences</v>
      </c>
      <c r="D14" s="3">
        <v>46243</v>
      </c>
      <c r="E14" s="1">
        <v>500</v>
      </c>
      <c r="F14" t="str">
        <v>Asif Sayyed (Son)</v>
      </c>
      <c r="G14" t="str">
        <v>UPI</v>
      </c>
      <c r="H14" t="str">
        <v>Groom haircut and other saloon expences paid</v>
      </c>
    </row>
    <row r="15">
      <c r="A15" t="str">
        <v>3d083a8d</v>
      </c>
      <c r="B15" t="str">
        <v>6d180155</v>
      </c>
      <c r="C15" t="str">
        <v>Prewedding shoot expences(lunch, fuel and other)</v>
      </c>
      <c r="D15" s="3">
        <v>46244</v>
      </c>
      <c r="E15" s="1">
        <v>11840</v>
      </c>
      <c r="F15" t="str">
        <v>Asif Sayyed (Son)</v>
      </c>
      <c r="G15" t="str">
        <v>UPI</v>
      </c>
      <c r="H15" t="str">
        <v>paid Prewedding shoot expences(lunch, fuel and other)</v>
      </c>
    </row>
    <row r="16">
      <c r="A16" t="str">
        <v>762c8b3b</v>
      </c>
      <c r="B16" t="str">
        <v>2c67b679</v>
      </c>
      <c r="C16" t="str">
        <v>Moolchand Sarees basta</v>
      </c>
      <c r="D16" s="3">
        <v>46255</v>
      </c>
      <c r="E16" s="1">
        <v>24880</v>
      </c>
      <c r="F16" t="str">
        <v>Umar Sayyed (Father)</v>
      </c>
      <c r="G16" t="str">
        <v>Debit Card</v>
      </c>
      <c r="H16" t="str">
        <v>Moolchand Sarees basta paid</v>
      </c>
    </row>
    <row r="17">
      <c r="A17" t="str">
        <v>d478d6d7</v>
      </c>
      <c r="B17" t="str">
        <v>1e95c55a</v>
      </c>
      <c r="C17" t="str">
        <v>Invitation Card (treaditional)</v>
      </c>
      <c r="D17" s="3">
        <v>46256</v>
      </c>
      <c r="E17" s="1">
        <v>3675</v>
      </c>
      <c r="F17" t="str">
        <v>Asif Sayyed (Son)</v>
      </c>
      <c r="G17" t="str">
        <v>UPI</v>
      </c>
      <c r="H17" t="str">
        <v>paid</v>
      </c>
    </row>
    <row r="18">
      <c r="A18" t="str">
        <v>04a382c3</v>
      </c>
      <c r="B18" t="str">
        <v>7896f0b1</v>
      </c>
      <c r="C18" t="str">
        <v>Parag Relative 20 dressed &amp; other cloths</v>
      </c>
      <c r="D18" s="3">
        <v>46257</v>
      </c>
      <c r="E18" s="1">
        <v>24000</v>
      </c>
      <c r="F18" t="str">
        <v>Umar Sayyed (Father)</v>
      </c>
      <c r="G18" t="str">
        <v>Debit Card</v>
      </c>
      <c r="H18" t="str">
        <v>Paid</v>
      </c>
    </row>
    <row r="19">
      <c r="A19" t="str">
        <v>b83ec348</v>
      </c>
      <c r="B19" t="str">
        <v>d5fe8bfd</v>
      </c>
      <c r="C19" t="str">
        <v>Famous cotton- Pathani 9</v>
      </c>
      <c r="D19" s="3">
        <v>46257</v>
      </c>
      <c r="E19" s="1">
        <v>12150</v>
      </c>
      <c r="F19" t="str">
        <v>Umar Sayyed (Father)</v>
      </c>
      <c r="G19" t="str">
        <v>Debit Card</v>
      </c>
      <c r="H19" t="str">
        <v>Famous cotton- Pathani 9</v>
      </c>
    </row>
    <row r="20">
      <c r="A20" t="str">
        <v>965c1bf2</v>
      </c>
      <c r="B20" t="str">
        <v>d1aee56d</v>
      </c>
      <c r="C20" t="str">
        <v>Shireen Dress</v>
      </c>
      <c r="D20" s="3">
        <v>46257</v>
      </c>
      <c r="E20" s="1">
        <v>2000</v>
      </c>
      <c r="F20" t="str">
        <v>Asif Sayyed (Son)</v>
      </c>
      <c r="G20" t="str">
        <v>UPI</v>
      </c>
      <c r="H20" t="str">
        <v>Shireen Dress paid</v>
      </c>
    </row>
    <row r="21">
      <c r="A21" t="str">
        <v>79903b8b</v>
      </c>
      <c r="B21" t="str">
        <v>7e3ae131</v>
      </c>
      <c r="C21" t="str">
        <v>(Mumbai Textile &amp; Parag) Bade Abba, Anis, Navshad &amp; Salima Dress</v>
      </c>
      <c r="D21" s="3">
        <v>46257</v>
      </c>
      <c r="E21" s="1">
        <v>4080</v>
      </c>
      <c r="F21" t="str">
        <v>Waheeda (mother)</v>
      </c>
      <c r="G21" t="str">
        <v>UPI</v>
      </c>
      <c r="H21" t="str">
        <v>(Mumbai Textile &amp; Parag) Bade Abba, Anis, Navshad &amp; Salima Dress paid</v>
      </c>
    </row>
    <row r="22">
      <c r="A22" t="str">
        <v>109c6f27</v>
      </c>
      <c r="B22" t="str">
        <v>4e1fe7bf</v>
      </c>
      <c r="C22" t="str">
        <v>(Famous &amp; Libas Tailor)Silaee for Abba, Didi, Asif &amp; irfan Bhaijan</v>
      </c>
      <c r="D22" s="3">
        <v>46257</v>
      </c>
      <c r="E22" s="1">
        <v>1000</v>
      </c>
      <c r="F22" t="str">
        <v>Umar Sayyed (Father)</v>
      </c>
      <c r="G22" t="str">
        <v>Cash</v>
      </c>
      <c r="H22" t="str">
        <v>advance</v>
      </c>
    </row>
    <row r="23">
      <c r="A23" t="str">
        <v>b5b081de</v>
      </c>
      <c r="B23" t="str">
        <v>1bb495b6</v>
      </c>
      <c r="C23" t="str">
        <v>23 Aug Basta lunch at Shahidawat</v>
      </c>
      <c r="D23" s="3">
        <v>46257</v>
      </c>
      <c r="E23" s="1">
        <v>2545</v>
      </c>
      <c r="F23" t="str">
        <v>Asif Sayyed (Son)</v>
      </c>
      <c r="G23" t="str">
        <v>UPI</v>
      </c>
      <c r="H23" t="str">
        <v>23 Aug Basta lunch paid</v>
      </c>
    </row>
    <row r="24">
      <c r="A24" t="str">
        <v>de8adadf</v>
      </c>
      <c r="B24" t="str">
        <v>a036f9f7</v>
      </c>
      <c r="C24" t="str">
        <v>Arbiya Bangals</v>
      </c>
      <c r="D24" s="3">
        <v>46257</v>
      </c>
      <c r="E24" s="1">
        <v>550</v>
      </c>
      <c r="F24" t="str">
        <v>Asif Sayyed (Son)</v>
      </c>
      <c r="G24" t="str">
        <v>UPI</v>
      </c>
      <c r="H24" t="str">
        <v>Bangal</v>
      </c>
    </row>
    <row r="25">
      <c r="A25" t="str">
        <v>c3d399da</v>
      </c>
      <c r="B25" t="str">
        <v>985ce939</v>
      </c>
      <c r="C25" t="str">
        <v>Arbiya &amp; Didi Sandle</v>
      </c>
      <c r="D25" s="3">
        <v>46257</v>
      </c>
      <c r="E25" s="1">
        <v>1300</v>
      </c>
      <c r="F25" t="str">
        <v>Waheeda (mother)</v>
      </c>
      <c r="G25" t="str">
        <v>Cash</v>
      </c>
      <c r="H25" t="str">
        <v>Arbiya &amp; Didi Sangle</v>
      </c>
    </row>
    <row r="26">
      <c r="A26" t="str">
        <v>dccde075</v>
      </c>
      <c r="B26" t="str">
        <v>0e8bf89b</v>
      </c>
      <c r="C26" t="str">
        <v>Bari ka saman</v>
      </c>
      <c r="D26" s="3">
        <v>46259</v>
      </c>
      <c r="E26" s="1">
        <v>2200</v>
      </c>
      <c r="F26" t="str">
        <v>Umar Sayyed (Father)</v>
      </c>
      <c r="G26" t="str">
        <v>Cash</v>
      </c>
      <c r="H26" t="str">
        <v>paid</v>
      </c>
    </row>
    <row r="27">
      <c r="A27" t="str">
        <v>3c9c77ed</v>
      </c>
      <c r="B27" t="str">
        <v>0421ab42</v>
      </c>
      <c r="C27" t="str">
        <v>Petrol Glanza</v>
      </c>
      <c r="D27" s="3">
        <v>46261</v>
      </c>
      <c r="E27" s="1">
        <v>4000</v>
      </c>
      <c r="F27" t="str">
        <v>Umar Sayyed (Father)</v>
      </c>
      <c r="G27" t="str">
        <v>Debit Card</v>
      </c>
      <c r="H27" t="str">
        <v>Petrol Paid</v>
      </c>
    </row>
    <row r="28">
      <c r="A28" t="str">
        <v>6d30e094</v>
      </c>
      <c r="B28" t="str">
        <v>aa710190</v>
      </c>
      <c r="C28" t="str">
        <v>Invitation Card (Shubham)</v>
      </c>
      <c r="D28" s="3">
        <v>46262</v>
      </c>
      <c r="E28" s="1">
        <v>1500</v>
      </c>
      <c r="F28" t="str">
        <v>Asif Sayyed (Son)</v>
      </c>
      <c r="G28" t="str">
        <v>UPI</v>
      </c>
      <c r="H28" t="str">
        <v>paid</v>
      </c>
    </row>
    <row r="29">
      <c r="A29" t="str">
        <v>bbfbed2b</v>
      </c>
      <c r="B29" t="str">
        <v>eebc3aaf</v>
      </c>
      <c r="C29" t="str">
        <v>Navkar Sales Corporation</v>
      </c>
      <c r="D29" s="3">
        <v>46263</v>
      </c>
      <c r="E29" s="1">
        <v>8649</v>
      </c>
      <c r="F29" t="str">
        <v>Asif Sayyed (Son)</v>
      </c>
      <c r="G29" t="str">
        <v>UPI</v>
      </c>
      <c r="H29" t="str">
        <v>paid</v>
      </c>
    </row>
    <row r="30">
      <c r="A30" t="str">
        <v>c9cf6d4a</v>
      </c>
      <c r="B30" t="str">
        <v>db4969e8</v>
      </c>
      <c r="C30" t="str">
        <v>Tushar Traders Oil</v>
      </c>
      <c r="D30" s="3">
        <v>46263</v>
      </c>
      <c r="E30" s="1">
        <v>5100</v>
      </c>
      <c r="F30" t="str">
        <v>Asif Sayyed (Son)</v>
      </c>
      <c r="G30" t="str">
        <v>UPI</v>
      </c>
      <c r="H30" t="str">
        <v>paid</v>
      </c>
    </row>
    <row r="31">
      <c r="A31" t="str">
        <v>9c9ac50b</v>
      </c>
      <c r="B31" t="str">
        <v>0beedebe</v>
      </c>
      <c r="C31" t="str">
        <v>Bhavesh Treaders (kirana)</v>
      </c>
      <c r="D31" s="3">
        <v>46263</v>
      </c>
      <c r="E31" s="1">
        <v>4600</v>
      </c>
      <c r="F31" t="str">
        <v>Asif Sayyed (Son)</v>
      </c>
      <c r="G31" t="str">
        <v>UPI</v>
      </c>
      <c r="H31" t="str">
        <v>Bhavesh Treaders (kirana) paid</v>
      </c>
    </row>
    <row r="32">
      <c r="A32" t="str">
        <v>cda2807c</v>
      </c>
      <c r="B32" t="str">
        <v>e6b755dc</v>
      </c>
      <c r="C32" t="str">
        <v>New Balaji Treaders</v>
      </c>
      <c r="D32" s="3">
        <v>46263</v>
      </c>
      <c r="E32" s="1">
        <v>575</v>
      </c>
      <c r="F32" t="str">
        <v>Asif Sayyed (Son)</v>
      </c>
      <c r="G32" t="str">
        <v>UPI</v>
      </c>
      <c r="H32" t="str">
        <v>paid</v>
      </c>
    </row>
    <row r="33">
      <c r="A33" t="str">
        <v>62d1ce54</v>
      </c>
      <c r="B33" t="str">
        <v>89c1b231</v>
      </c>
      <c r="C33" t="str">
        <v>Pravin Masale</v>
      </c>
      <c r="D33" s="3">
        <v>46263</v>
      </c>
      <c r="E33" s="1">
        <v>3345</v>
      </c>
      <c r="F33" t="str">
        <v>Asif Sayyed (Son)</v>
      </c>
      <c r="G33" t="str">
        <v>UPI</v>
      </c>
      <c r="H33" t="str">
        <v>Pravin Masal Paid</v>
      </c>
    </row>
    <row r="34">
      <c r="A34" t="str">
        <v>13ce4f28</v>
      </c>
      <c r="B34" t="str">
        <v>1aa31869</v>
      </c>
      <c r="C34" t="str">
        <v>Bhavesh Treaders (karele &amp; javas)</v>
      </c>
      <c r="D34" s="3">
        <v>46263</v>
      </c>
      <c r="E34" s="1">
        <v>270</v>
      </c>
      <c r="F34" t="str">
        <v>Waheeda (mother)</v>
      </c>
      <c r="G34" t="str">
        <v>Cash</v>
      </c>
      <c r="H34" t="str">
        <v/>
      </c>
    </row>
    <row r="35">
      <c r="A35" t="str">
        <v>c2ac5cbf</v>
      </c>
      <c r="B35" t="str">
        <v>05d27deb</v>
      </c>
      <c r="C35" t="str">
        <v>Cream House Lunch</v>
      </c>
      <c r="D35" s="3">
        <v>46263</v>
      </c>
      <c r="E35" s="1">
        <v>1124</v>
      </c>
      <c r="F35" t="str">
        <v>Asif Sayyed (Son)</v>
      </c>
      <c r="G35" t="str">
        <v>UPI</v>
      </c>
      <c r="H35" t="str">
        <v>Cream House Lunch paid</v>
      </c>
    </row>
    <row r="36">
      <c r="A36" t="str">
        <v>a7faa1c7</v>
      </c>
      <c r="B36" t="str">
        <v>beb44857</v>
      </c>
      <c r="C36" t="str">
        <v>Pratap films and Photography</v>
      </c>
      <c r="D36" s="3">
        <v>46263</v>
      </c>
      <c r="E36" s="1">
        <v>10000</v>
      </c>
      <c r="F36" t="str">
        <v>Asif Sayyed (Son)</v>
      </c>
      <c r="G36" t="str">
        <v>UPI</v>
      </c>
      <c r="H36" t="str">
        <v>second installment</v>
      </c>
    </row>
    <row r="37">
      <c r="A37" t="str">
        <v>6297fd78</v>
      </c>
      <c r="B37" t="str">
        <v>4e1fe7bf</v>
      </c>
      <c r="C37" t="str">
        <v>(Famous &amp; Libas Tailor)Silaee for Abba, Didi, Asif &amp; irfan Bhaijan</v>
      </c>
      <c r="D37" s="3">
        <v>46266</v>
      </c>
      <c r="E37" s="1">
        <v>10300</v>
      </c>
      <c r="F37" t="str">
        <v>Umar Sayyed (Father)</v>
      </c>
      <c r="G37" t="str">
        <v>UPI</v>
      </c>
      <c r="H37" t="str">
        <v>full payment done</v>
      </c>
    </row>
    <row r="38">
      <c r="A38" t="str">
        <v>e53fce6e</v>
      </c>
      <c r="B38" t="str">
        <v>2a74d868</v>
      </c>
      <c r="C38" t="str">
        <v>Colour &amp; plumber</v>
      </c>
      <c r="D38" s="3">
        <v>46270</v>
      </c>
      <c r="E38" s="1">
        <v>800</v>
      </c>
      <c r="F38" t="str">
        <v>Asif Sayyed (Son)</v>
      </c>
      <c r="G38" t="str">
        <v>UPI</v>
      </c>
      <c r="H38" t="str">
        <v/>
      </c>
    </row>
    <row r="39">
      <c r="A39" t="str">
        <v>0bd24ffb</v>
      </c>
      <c r="B39" t="str">
        <v>aaedf833</v>
      </c>
      <c r="C39" t="str">
        <v>Aluminum Shop Partition</v>
      </c>
      <c r="D39" s="3">
        <v>46271</v>
      </c>
      <c r="E39" s="1">
        <v>15000</v>
      </c>
      <c r="F39" t="str">
        <v>Asif Sayyed (Son)</v>
      </c>
      <c r="G39" t="str">
        <v>UPI</v>
      </c>
      <c r="H39" t="str">
        <v>Paid Advance</v>
      </c>
    </row>
    <row r="40">
      <c r="A40" t="str">
        <v>a1d6ea2f</v>
      </c>
      <c r="B40" t="str">
        <v>30b69ec5</v>
      </c>
      <c r="C40" t="str">
        <v>Mummy sadi</v>
      </c>
      <c r="D40" s="3">
        <v>46272</v>
      </c>
      <c r="E40" s="1">
        <v>1600</v>
      </c>
      <c r="F40" t="str">
        <v>Umar Sayyed (Father)</v>
      </c>
      <c r="G40" t="str">
        <v>Cash</v>
      </c>
      <c r="H40" t="str">
        <v/>
      </c>
    </row>
    <row r="41">
      <c r="A41" t="str">
        <v>c44e46e8</v>
      </c>
      <c r="B41" t="str">
        <v>beb44857</v>
      </c>
      <c r="C41" t="str">
        <v>Pratap films and Photography</v>
      </c>
      <c r="D41" s="3">
        <v>46273</v>
      </c>
      <c r="E41" s="1">
        <v>10000</v>
      </c>
      <c r="F41" t="str">
        <v>Asif Sayyed (Son)</v>
      </c>
      <c r="G41" t="str">
        <v>UPI</v>
      </c>
      <c r="H41" t="str">
        <v>3rd installment</v>
      </c>
    </row>
    <row r="42">
      <c r="A42" t="str">
        <v>233eee35</v>
      </c>
      <c r="B42" t="str">
        <v>9961a7bb</v>
      </c>
      <c r="C42" t="str">
        <v>Untracked expenses Petrol, Food, small bills</v>
      </c>
      <c r="D42" s="3">
        <v>46273</v>
      </c>
      <c r="E42" s="1">
        <v>9150</v>
      </c>
      <c r="F42" t="str">
        <v>Asif Sayyed (Son)</v>
      </c>
      <c r="G42" t="str">
        <v>UPI</v>
      </c>
      <c r="H42" t="str">
        <v/>
      </c>
    </row>
    <row r="43">
      <c r="A43" t="str">
        <v>7ac7100a</v>
      </c>
      <c r="B43" t="str">
        <v>b1e7073e</v>
      </c>
      <c r="C43" t="str">
        <v>Mummy Hospital Expence Mate Docter</v>
      </c>
      <c r="D43" s="3">
        <v>46276</v>
      </c>
      <c r="E43" s="1">
        <v>2900</v>
      </c>
      <c r="F43" t="str">
        <v>Asif Sayyed (Son)</v>
      </c>
      <c r="G43" t="str">
        <v>UPI</v>
      </c>
      <c r="H43" t="str">
        <v>paid</v>
      </c>
    </row>
    <row r="44">
      <c r="A44" t="str">
        <v>5da4a0cf</v>
      </c>
      <c r="B44" t="str">
        <v>766bfdf7</v>
      </c>
      <c r="C44" t="str">
        <v>Garva Biryani, hardware expense, flower</v>
      </c>
      <c r="D44" s="3">
        <v>46277</v>
      </c>
      <c r="E44" s="1">
        <v>410</v>
      </c>
      <c r="F44" t="str">
        <v>Asif Sayyed (Son)</v>
      </c>
      <c r="G44" t="str">
        <v>UPI</v>
      </c>
      <c r="H44" t="str">
        <v>Paid</v>
      </c>
    </row>
    <row r="45">
      <c r="A45" t="str">
        <v>7cdb194e</v>
      </c>
      <c r="B45" t="str">
        <v>aaedf833</v>
      </c>
      <c r="C45" t="str">
        <v>Aluminum Shop Partition</v>
      </c>
      <c r="D45" s="3">
        <v>46278</v>
      </c>
      <c r="E45" s="1">
        <v>8000</v>
      </c>
      <c r="F45" t="str">
        <v>Asif Sayyed (Son)</v>
      </c>
      <c r="G45" t="str">
        <v>UPI</v>
      </c>
      <c r="H45" t="str">
        <v>Completed payment</v>
      </c>
    </row>
    <row r="46">
      <c r="A46" t="str">
        <v>ecbdb657</v>
      </c>
      <c r="B46" t="str">
        <v>dc70b2a1</v>
      </c>
      <c r="C46" t="str">
        <v>Ice Cream, vada pav, Irani Cafe, Milk</v>
      </c>
      <c r="D46" s="3">
        <v>46278</v>
      </c>
      <c r="E46" s="1">
        <v>3000</v>
      </c>
      <c r="F46" t="str">
        <v>Asif Sayyed (Son)</v>
      </c>
      <c r="G46" t="str">
        <v>UPI</v>
      </c>
      <c r="H46" t="str">
        <v>payed</v>
      </c>
    </row>
    <row r="47">
      <c r="A47" t="str">
        <v>b8049298</v>
      </c>
      <c r="B47" t="str">
        <v>84c049af</v>
      </c>
      <c r="C47" t="str">
        <v>Petrol Glanza, Himalyan, PUC, Wheel Alingment, Engine cover Advance</v>
      </c>
      <c r="D47" s="3">
        <v>46279</v>
      </c>
      <c r="E47" s="1">
        <v>4000</v>
      </c>
      <c r="F47" t="str">
        <v>Asif Sayyed (Son)</v>
      </c>
      <c r="G47" t="str">
        <v>UPI</v>
      </c>
      <c r="H47" t="str">
        <v>payed</v>
      </c>
    </row>
    <row r="48">
      <c r="A48" t="str">
        <v>cf880b55</v>
      </c>
      <c r="B48" t="str">
        <v>f68b08a7</v>
      </c>
      <c r="C48" t="str">
        <v>Asif Radimant dress, jokey inner ware, white tighty, sliper</v>
      </c>
      <c r="D48" s="3">
        <v>46279</v>
      </c>
      <c r="E48" s="1">
        <v>7100</v>
      </c>
      <c r="F48" t="str">
        <v>Asif Sayyed (Son)</v>
      </c>
      <c r="G48" t="str">
        <v>UPI</v>
      </c>
      <c r="H48" t="str">
        <v>paid</v>
      </c>
    </row>
    <row r="49">
      <c r="A49" t="str">
        <v>1fb7d868</v>
      </c>
      <c r="B49" t="str">
        <v>631875ca</v>
      </c>
      <c r="C49" t="str">
        <v>Day night Flower Decoration - (hall)</v>
      </c>
      <c r="D49" s="3">
        <v>46280</v>
      </c>
      <c r="E49" s="1">
        <v>30000</v>
      </c>
      <c r="F49" t="str">
        <v>Asif Sayyed (Son)</v>
      </c>
      <c r="G49" t="str">
        <v>UPI</v>
      </c>
      <c r="H49" t="str">
        <v>2nd installment</v>
      </c>
    </row>
    <row r="50">
      <c r="A50" t="str">
        <v>a97ce6ef</v>
      </c>
      <c r="B50" t="str">
        <v>631875ca</v>
      </c>
      <c r="C50" t="str">
        <v>Day night Flower Decoration - (hall)</v>
      </c>
      <c r="D50" s="3">
        <v>46283</v>
      </c>
      <c r="E50" s="1">
        <v>30000</v>
      </c>
      <c r="F50" t="str">
        <v>Asif Sayyed (Son)</v>
      </c>
      <c r="G50" t="str">
        <v>UPI</v>
      </c>
      <c r="H50" t="str">
        <v>3rd instalment</v>
      </c>
    </row>
    <row r="51">
      <c r="A51" t="str">
        <v>ac587329</v>
      </c>
      <c r="B51" t="str">
        <v>4d3bd5b1</v>
      </c>
      <c r="C51" t="str">
        <v>Ganesh Bhondve Mandva + decoration</v>
      </c>
      <c r="D51" s="3">
        <v>46284</v>
      </c>
      <c r="E51" s="1">
        <v>5000</v>
      </c>
      <c r="F51" t="str">
        <v>Asif Sayyed (Son)</v>
      </c>
      <c r="G51" t="str">
        <v>UPI</v>
      </c>
      <c r="H51" t="str">
        <v/>
      </c>
    </row>
    <row r="52">
      <c r="A52" t="str">
        <v>b0f2a839</v>
      </c>
      <c r="B52" t="str">
        <v>168b7bbd</v>
      </c>
      <c r="C52" t="str">
        <v>Huseni Caterers</v>
      </c>
      <c r="D52" s="3">
        <v>46286</v>
      </c>
      <c r="E52" s="1">
        <v>200000</v>
      </c>
      <c r="F52" t="str">
        <v>Umar Sayyed (Father)</v>
      </c>
      <c r="G52" t="str">
        <v>Cash</v>
      </c>
      <c r="H52" t="str">
        <v/>
      </c>
    </row>
    <row r="53">
      <c r="A53" t="str">
        <v>59d53a62</v>
      </c>
      <c r="B53" t="str">
        <v>168b7bbd</v>
      </c>
      <c r="C53" t="str">
        <v>Huseni Caterers</v>
      </c>
      <c r="D53" s="3">
        <v>46292</v>
      </c>
      <c r="E53" s="1">
        <v>200000</v>
      </c>
      <c r="F53" t="str">
        <v>Umar Sayyed (Father)</v>
      </c>
      <c r="G53" t="str">
        <v>Cash</v>
      </c>
      <c r="H53" t="str">
        <v/>
      </c>
    </row>
    <row r="54">
      <c r="A54" t="str">
        <v>faf0435d</v>
      </c>
      <c r="B54" t="str">
        <v>04ece648</v>
      </c>
      <c r="C54" t="str">
        <v>Soyarik mangal karyalay</v>
      </c>
      <c r="D54" s="3">
        <v>46292</v>
      </c>
      <c r="E54" s="1">
        <v>75000</v>
      </c>
      <c r="F54" t="str">
        <v>Umar Sayyed (Father)</v>
      </c>
      <c r="G54" t="str">
        <v>Cash</v>
      </c>
      <c r="H54" t="str">
        <v/>
      </c>
    </row>
    <row r="55">
      <c r="A55" t="str">
        <v>eb8cd69a</v>
      </c>
      <c r="B55" t="str">
        <v>87751d8e</v>
      </c>
      <c r="C55" t="str">
        <v>Mom Miscellaneous Bangals, Area cleaning other expence</v>
      </c>
      <c r="D55" s="3">
        <v>46292</v>
      </c>
      <c r="E55" s="1">
        <v>15000</v>
      </c>
      <c r="F55" t="str">
        <v>Waheeda (mother)</v>
      </c>
      <c r="G55" t="str">
        <v>Cash</v>
      </c>
      <c r="H55" t="str">
        <v/>
      </c>
    </row>
    <row r="56">
      <c r="A56" t="str">
        <v>37a1eaeb</v>
      </c>
      <c r="B56" t="str">
        <v>0cf8885b</v>
      </c>
      <c r="C56" t="str">
        <v>Crackers</v>
      </c>
      <c r="D56" s="3">
        <v>46293</v>
      </c>
      <c r="E56" s="1">
        <v>5500</v>
      </c>
      <c r="F56" t="str">
        <v>Asif Sayyed (Son)</v>
      </c>
      <c r="G56" t="str">
        <v>UPI</v>
      </c>
      <c r="H56" t="str">
        <v>Paid</v>
      </c>
    </row>
    <row r="57">
      <c r="A57" t="str">
        <v>2190a07d</v>
      </c>
      <c r="B57" t="str">
        <v>beb44857</v>
      </c>
      <c r="C57" t="str">
        <v>Pratap films and Photography</v>
      </c>
      <c r="D57" s="3">
        <v>46294</v>
      </c>
      <c r="E57" s="1">
        <v>10000</v>
      </c>
      <c r="F57" t="str">
        <v>Asif Sayyed (Son)</v>
      </c>
      <c r="G57" t="str">
        <v>UPI</v>
      </c>
      <c r="H57" t="str">
        <v>5 th installment</v>
      </c>
    </row>
    <row r="58">
      <c r="A58" t="str">
        <v>ccf68d33</v>
      </c>
      <c r="B58" t="str">
        <v>4d3bd5b1</v>
      </c>
      <c r="C58" t="str">
        <v>Ganesh Bhondve Mandva + decoration</v>
      </c>
      <c r="D58" s="3">
        <v>46296</v>
      </c>
      <c r="E58" s="1">
        <v>10000</v>
      </c>
      <c r="F58" t="str">
        <v>Asif Sayyed (Son)</v>
      </c>
      <c r="G58" t="str">
        <v>UPI</v>
      </c>
      <c r="H58" t="str">
        <v>second installment</v>
      </c>
    </row>
    <row r="59">
      <c r="A59" t="str">
        <v>a6e10a8c</v>
      </c>
      <c r="B59" t="str">
        <v>631875ca</v>
      </c>
      <c r="C59" t="str">
        <v>Day night Flower Decoration - (hall)</v>
      </c>
      <c r="D59" s="3">
        <v>46297</v>
      </c>
      <c r="E59" s="1">
        <v>33000</v>
      </c>
      <c r="F59" t="str">
        <v>Asif Sayyed (Son)</v>
      </c>
      <c r="G59" t="str">
        <v>UPI</v>
      </c>
      <c r="H59" t="str">
        <v>4th installment</v>
      </c>
    </row>
    <row r="60">
      <c r="A60" t="str">
        <v>718175b7</v>
      </c>
      <c r="B60" t="str">
        <v>a1def8e4</v>
      </c>
      <c r="C60" t="str">
        <v>miscellaneous ratjaka (chicken, tags, bartan)</v>
      </c>
      <c r="D60" s="3">
        <v>46297</v>
      </c>
      <c r="E60" s="1">
        <v>5412</v>
      </c>
      <c r="F60" t="str">
        <v>Asif Sayyed (Son)</v>
      </c>
      <c r="G60" t="str">
        <v>UPI</v>
      </c>
      <c r="H60" t="str">
        <v>paid</v>
      </c>
    </row>
    <row r="61">
      <c r="A61" t="str">
        <v>45e7ae1c</v>
      </c>
      <c r="B61" t="str">
        <v>99d3617a</v>
      </c>
      <c r="C61" t="str">
        <v>Lucky Mattan Shop (Bakra for haldi)</v>
      </c>
      <c r="D61" s="3">
        <v>46298</v>
      </c>
      <c r="E61" s="1">
        <v>10000</v>
      </c>
      <c r="F61" t="str">
        <v>Umar Sayyed (Father)</v>
      </c>
      <c r="G61" t="str">
        <v>Cash</v>
      </c>
      <c r="H61" t="str">
        <v>paid</v>
      </c>
    </row>
    <row r="62">
      <c r="A62" t="str">
        <v>09899d1e</v>
      </c>
      <c r="B62" t="str">
        <v>c1c67a32</v>
      </c>
      <c r="C62" t="str">
        <v>car decoration, Dj, Petrol, Haldi Celender</v>
      </c>
      <c r="D62" s="3">
        <v>46299</v>
      </c>
      <c r="E62" s="1">
        <v>30000</v>
      </c>
      <c r="F62" t="str">
        <v>Asif Sayyed (Son)</v>
      </c>
      <c r="G62" t="str">
        <v>UPI</v>
      </c>
      <c r="H62" t="str">
        <v/>
      </c>
    </row>
    <row r="63">
      <c r="A63" t="str">
        <v>2b0b3096</v>
      </c>
      <c r="B63" t="str">
        <v>08cd3226</v>
      </c>
      <c r="C63" t="str">
        <v>Meher Amount</v>
      </c>
      <c r="D63" s="3">
        <v>46299</v>
      </c>
      <c r="E63" s="1">
        <v>11111</v>
      </c>
      <c r="F63" t="str">
        <v>Umar Sayyed (Father)</v>
      </c>
      <c r="G63" t="str">
        <v>Cash</v>
      </c>
      <c r="H63" t="str">
        <v/>
      </c>
    </row>
    <row r="64">
      <c r="A64" t="str">
        <v>113db2d6</v>
      </c>
      <c r="B64" t="str">
        <v>5ddff322</v>
      </c>
      <c r="C64" t="str">
        <v>Sehera, Har, Guche &amp; Gajre</v>
      </c>
      <c r="D64" s="3">
        <v>46299</v>
      </c>
      <c r="E64" s="1">
        <v>9000</v>
      </c>
      <c r="F64" t="str">
        <v>Umar Sayyed (Father)</v>
      </c>
      <c r="G64" t="str">
        <v>Cash</v>
      </c>
      <c r="H64" t="str">
        <v/>
      </c>
    </row>
    <row r="65">
      <c r="A65" t="str">
        <v>fc7adcbd</v>
      </c>
      <c r="B65" t="str">
        <v>04ece648</v>
      </c>
      <c r="C65" t="str">
        <v>Soyarik mangal karyalay</v>
      </c>
      <c r="D65" s="3">
        <v>46300</v>
      </c>
      <c r="E65" s="1">
        <v>15000</v>
      </c>
      <c r="F65" t="str">
        <v>Umar Sayyed (Father)</v>
      </c>
      <c r="G65" t="str">
        <v>Cash</v>
      </c>
      <c r="H65" t="str">
        <v>payment done</v>
      </c>
    </row>
    <row r="66">
      <c r="A66" t="str">
        <v>384605f7</v>
      </c>
      <c r="B66" t="str">
        <v>22ff3fb2</v>
      </c>
      <c r="C66" t="str">
        <v>chair arrangment soyarik gardan</v>
      </c>
      <c r="D66" s="3">
        <v>46300</v>
      </c>
      <c r="E66" s="1">
        <v>2000</v>
      </c>
      <c r="F66" t="str">
        <v>Umar Sayyed (Father)</v>
      </c>
      <c r="G66" t="str">
        <v>Cash</v>
      </c>
      <c r="H66" t="str">
        <v/>
      </c>
    </row>
    <row r="67">
      <c r="A67" t="str">
        <v>d08ebf7d</v>
      </c>
      <c r="B67" t="str">
        <v>9b3747da</v>
      </c>
      <c r="C67" t="str">
        <v>tampo traveller</v>
      </c>
      <c r="D67" s="3">
        <v>46300</v>
      </c>
      <c r="E67" s="1">
        <v>7500</v>
      </c>
      <c r="F67" t="str">
        <v>Umar Sayyed (Father)</v>
      </c>
      <c r="G67" t="str">
        <v>Cash</v>
      </c>
      <c r="H67" t="str">
        <v>cash</v>
      </c>
    </row>
    <row r="68">
      <c r="A68" t="str">
        <v>3adcd8de</v>
      </c>
      <c r="B68" t="str">
        <v>4d3bd5b1</v>
      </c>
      <c r="C68" t="str">
        <v>Ganesh Bhondve Mandva + decoration</v>
      </c>
      <c r="D68" s="3">
        <v>46302</v>
      </c>
      <c r="E68" s="1">
        <v>24000</v>
      </c>
      <c r="F68" t="str">
        <v>Asif Sayyed (Son)</v>
      </c>
      <c r="G68" t="str">
        <v>UPI</v>
      </c>
      <c r="H68" t="str">
        <v>Final payment</v>
      </c>
    </row>
    <row r="69">
      <c r="A69" t="str">
        <v>4f298a0d</v>
      </c>
      <c r="B69" t="str">
        <v>631875ca</v>
      </c>
      <c r="C69" t="str">
        <v>Day night Flower Decoration - (hall)</v>
      </c>
      <c r="D69" s="3">
        <v>46302</v>
      </c>
      <c r="E69" s="1">
        <v>20000</v>
      </c>
      <c r="F69" t="str">
        <v>Asif Sayyed (Son)</v>
      </c>
      <c r="G69" t="str">
        <v>UPI</v>
      </c>
      <c r="H69" t="str">
        <v>Installment</v>
      </c>
    </row>
    <row r="70">
      <c r="A70" t="str">
        <v>141e8fbb</v>
      </c>
      <c r="B70" t="str">
        <v>4d3bd5b1</v>
      </c>
      <c r="C70" t="str">
        <v>Ganesh Bhondve Mandva + decoration</v>
      </c>
      <c r="D70" s="3">
        <v>46302</v>
      </c>
      <c r="E70" s="1">
        <v>500</v>
      </c>
      <c r="F70" t="str">
        <v>Asif Sayyed (Son)</v>
      </c>
      <c r="G70" t="str">
        <v>UPI</v>
      </c>
      <c r="H70" t="str">
        <v>paid</v>
      </c>
    </row>
    <row r="71">
      <c r="A71" t="str">
        <v>738b696a</v>
      </c>
      <c r="B71" t="str">
        <v>f31def6e</v>
      </c>
      <c r="C71" t="str">
        <v>Music in reception &amp; sangit</v>
      </c>
      <c r="D71" s="3">
        <v>46302</v>
      </c>
      <c r="E71" s="1">
        <v>13000</v>
      </c>
      <c r="F71" t="str">
        <v>Umar Sayyed (Father)</v>
      </c>
      <c r="G71" t="str">
        <v>Cash</v>
      </c>
      <c r="H71" t="str">
        <v/>
      </c>
    </row>
    <row r="72">
      <c r="A72" t="str">
        <v>ad864ef1</v>
      </c>
      <c r="B72" t="str">
        <v>c047acbd</v>
      </c>
      <c r="C72" t="str">
        <v>Shadi &amp; reception Rasam</v>
      </c>
      <c r="D72" s="3">
        <v>46302</v>
      </c>
      <c r="E72" s="1">
        <v>6000</v>
      </c>
      <c r="F72" t="str">
        <v>Umar Sayyed (Father)</v>
      </c>
      <c r="G72" t="str">
        <v>Cash</v>
      </c>
      <c r="H72" t="str">
        <v/>
      </c>
    </row>
    <row r="73">
      <c r="A73" t="str">
        <v>da6b0ec5</v>
      </c>
      <c r="B73" t="str">
        <v>631875ca</v>
      </c>
      <c r="C73" t="str">
        <v>Day night Flower Decoration - (hall)</v>
      </c>
      <c r="D73" s="3">
        <v>46303</v>
      </c>
      <c r="E73" s="1">
        <v>33000</v>
      </c>
      <c r="F73" t="str">
        <v>Asif Sayyed (Son)</v>
      </c>
      <c r="G73" t="str">
        <v>UPI</v>
      </c>
      <c r="H73" t="str">
        <v>Payment done</v>
      </c>
    </row>
    <row r="74">
      <c r="A74" t="str">
        <v>658c49d2</v>
      </c>
      <c r="B74" t="str">
        <v>168b7bbd</v>
      </c>
      <c r="C74" t="str">
        <v>Huseni Caterers</v>
      </c>
      <c r="D74" s="3">
        <v>46303</v>
      </c>
      <c r="E74" s="1">
        <v>125000</v>
      </c>
      <c r="F74" t="str">
        <v>Umar Sayyed (Father)</v>
      </c>
      <c r="G74" t="str">
        <v>Cash</v>
      </c>
      <c r="H74" t="str">
        <v>Final payment</v>
      </c>
    </row>
    <row r="75">
      <c r="A75" t="str">
        <v>80e653df</v>
      </c>
      <c r="B75" t="str">
        <v>beb44857</v>
      </c>
      <c r="C75" t="str">
        <v>Pratap films and Photography</v>
      </c>
      <c r="D75" s="3">
        <v>46303</v>
      </c>
      <c r="E75" s="1">
        <v>30000</v>
      </c>
      <c r="F75" t="str">
        <v>Asif Sayyed (Son)</v>
      </c>
      <c r="G75" t="str">
        <v>UPI</v>
      </c>
      <c r="H75" t="str">
        <v>Second last installment</v>
      </c>
    </row>
    <row r="76">
      <c r="A76" t="str">
        <v>79cb1a7e</v>
      </c>
      <c r="B76" t="str">
        <v>22ff3fb2</v>
      </c>
      <c r="C76" t="str">
        <v>chair arrangment soyarik gardan</v>
      </c>
      <c r="D76" s="3">
        <v>46306</v>
      </c>
      <c r="E76" s="1">
        <v>1000</v>
      </c>
      <c r="F76" t="str">
        <v>Umar Sayyed (Father)</v>
      </c>
      <c r="G76" t="str">
        <v>Cash</v>
      </c>
      <c r="H76" t="str">
        <v>final payment</v>
      </c>
    </row>
    <row r="77">
      <c r="A77" t="str">
        <v>fcb3d16a</v>
      </c>
      <c r="B77" t="str">
        <v>70d7465c</v>
      </c>
      <c r="C77" t="str">
        <v>3 kg asli ghee</v>
      </c>
      <c r="D77" s="3">
        <v>46306</v>
      </c>
      <c r="E77" s="1">
        <v>1830</v>
      </c>
      <c r="F77" t="str">
        <v>Umar Sayyed (Father)</v>
      </c>
      <c r="G77" t="str">
        <v>Cash</v>
      </c>
      <c r="H77" t="str">
        <v/>
      </c>
    </row>
  </sheetData>
  <autoFilter ref="A1:H77"/>
  <ignoredErrors>
    <ignoredError numberStoredAsText="1" sqref="A1:H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30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Item</v>
      </c>
      <c r="B1" t="str">
        <v>Category</v>
      </c>
      <c r="C1" t="str">
        <v>Estimated</v>
      </c>
      <c r="D1" t="str">
        <v>Paid</v>
      </c>
      <c r="E1" t="str">
        <v>Still to pay</v>
      </c>
    </row>
    <row r="2">
      <c r="A2" t="str">
        <v>(Famous &amp; Libas Tailor)Silaee for Abba, Didi, Asif &amp; irfan Bhaijan</v>
      </c>
      <c r="B2" t="str">
        <v>Clothing &amp; Jewellery</v>
      </c>
      <c r="C2" s="1">
        <v>11300</v>
      </c>
      <c r="D2" s="1">
        <f>SUMIF('Payments'!$C:$C,$A2,'Payments'!$E:$E)</f>
        <v>11300</v>
      </c>
      <c r="E2" s="1">
        <f>C2-D2</f>
        <v>0</v>
      </c>
    </row>
    <row r="3">
      <c r="A3" t="str">
        <v>(Mumbai Textile &amp; Parag) Bade Abba, Anis, Navshad &amp; Salima Dress</v>
      </c>
      <c r="B3" t="str">
        <v>Clothing &amp; Jewellery</v>
      </c>
      <c r="C3" s="1">
        <v>4080</v>
      </c>
      <c r="D3" s="1">
        <f>SUMIF('Payments'!$C:$C,$A3,'Payments'!$E:$E)</f>
        <v>4080</v>
      </c>
      <c r="E3" s="1">
        <f>C3-D3</f>
        <v>0</v>
      </c>
    </row>
    <row r="4">
      <c r="A4" t="str">
        <v>23 Aug Basta lunch at Shahidawat</v>
      </c>
      <c r="B4" t="str">
        <v>Food &amp; Catering</v>
      </c>
      <c r="C4" s="1">
        <v>2545</v>
      </c>
      <c r="D4" s="1">
        <f>SUMIF('Payments'!$C:$C,$A4,'Payments'!$E:$E)</f>
        <v>2545</v>
      </c>
      <c r="E4" s="1">
        <f>C4-D4</f>
        <v>0</v>
      </c>
    </row>
    <row r="5">
      <c r="A5" t="str">
        <v>3 kg asli ghee</v>
      </c>
      <c r="B5" t="str">
        <v>Food &amp; Catering</v>
      </c>
      <c r="C5" s="1">
        <v>1830</v>
      </c>
      <c r="D5" s="1">
        <f>SUMIF('Payments'!$C:$C,$A5,'Payments'!$E:$E)</f>
        <v>1830</v>
      </c>
      <c r="E5" s="1">
        <f>C5-D5</f>
        <v>0</v>
      </c>
    </row>
    <row r="6">
      <c r="A6" t="str">
        <v>A S leather zone - Groom jacket</v>
      </c>
      <c r="B6" t="str">
        <v>Clothing &amp; Jewellery</v>
      </c>
      <c r="C6" s="1">
        <v>3500</v>
      </c>
      <c r="D6" s="1">
        <f>SUMIF('Payments'!$C:$C,$A6,'Payments'!$E:$E)</f>
        <v>3500</v>
      </c>
      <c r="E6" s="1">
        <f>C6-D6</f>
        <v>0</v>
      </c>
    </row>
    <row r="7">
      <c r="A7" t="str">
        <v>Aluminum Shop Partition</v>
      </c>
      <c r="B7" t="str">
        <v>Miscellaneous</v>
      </c>
      <c r="C7" s="1">
        <v>23000</v>
      </c>
      <c r="D7" s="1">
        <f>SUMIF('Payments'!$C:$C,$A7,'Payments'!$E:$E)</f>
        <v>23000</v>
      </c>
      <c r="E7" s="1">
        <f>C7-D7</f>
        <v>0</v>
      </c>
    </row>
    <row r="8">
      <c r="A8" t="str">
        <v>Arbiya &amp; Didi Sandle</v>
      </c>
      <c r="B8" t="str">
        <v>Clothing &amp; Jewellery</v>
      </c>
      <c r="C8" s="1">
        <v>1300</v>
      </c>
      <c r="D8" s="1">
        <f>SUMIF('Payments'!$C:$C,$A8,'Payments'!$E:$E)</f>
        <v>1300</v>
      </c>
      <c r="E8" s="1">
        <f>C8-D8</f>
        <v>0</v>
      </c>
    </row>
    <row r="9">
      <c r="A9" t="str">
        <v>Arbiya Bangals</v>
      </c>
      <c r="B9" t="str">
        <v>Clothing &amp; Jewellery</v>
      </c>
      <c r="C9" s="1">
        <v>550</v>
      </c>
      <c r="D9" s="1">
        <f>SUMIF('Payments'!$C:$C,$A9,'Payments'!$E:$E)</f>
        <v>550</v>
      </c>
      <c r="E9" s="1">
        <f>C9-D9</f>
        <v>0</v>
      </c>
    </row>
    <row r="10">
      <c r="A10" t="str">
        <v>Asif Radimant dress, jokey inner ware, white tighty, sliper</v>
      </c>
      <c r="B10" t="str">
        <v>Clothing &amp; Jewellery</v>
      </c>
      <c r="C10" s="1">
        <v>7100</v>
      </c>
      <c r="D10" s="1">
        <f>SUMIF('Payments'!$C:$C,$A10,'Payments'!$E:$E)</f>
        <v>7100</v>
      </c>
      <c r="E10" s="1">
        <f>C10-D10</f>
        <v>0</v>
      </c>
    </row>
    <row r="11">
      <c r="A11" t="str">
        <v>Bari ka saman</v>
      </c>
      <c r="B11" t="str">
        <v>Gifts &amp; Return Gifts</v>
      </c>
      <c r="C11" s="1">
        <v>2200</v>
      </c>
      <c r="D11" s="1">
        <f>SUMIF('Payments'!$C:$C,$A11,'Payments'!$E:$E)</f>
        <v>2200</v>
      </c>
      <c r="E11" s="1">
        <f>C11-D11</f>
        <v>0</v>
      </c>
    </row>
    <row r="12">
      <c r="A12" t="str">
        <v>Bhavesh Treaders (karele &amp; javas)</v>
      </c>
      <c r="B12" t="str">
        <v>Food &amp; Catering</v>
      </c>
      <c r="C12" s="1">
        <v>270</v>
      </c>
      <c r="D12" s="1">
        <f>SUMIF('Payments'!$C:$C,$A12,'Payments'!$E:$E)</f>
        <v>270</v>
      </c>
      <c r="E12" s="1">
        <f>C12-D12</f>
        <v>0</v>
      </c>
    </row>
    <row r="13">
      <c r="A13" t="str">
        <v>Bhavesh Treaders (kirana)</v>
      </c>
      <c r="B13" t="str">
        <v>Food &amp; Catering</v>
      </c>
      <c r="C13" s="1">
        <v>4600</v>
      </c>
      <c r="D13" s="1">
        <f>SUMIF('Payments'!$C:$C,$A13,'Payments'!$E:$E)</f>
        <v>4600</v>
      </c>
      <c r="E13" s="1">
        <f>C13-D13</f>
        <v>0</v>
      </c>
    </row>
    <row r="14">
      <c r="A14" t="str">
        <v>car decoration, Dj, Petrol, Haldi Celender</v>
      </c>
      <c r="B14" t="str">
        <v>Decoration</v>
      </c>
      <c r="C14" s="1">
        <v>30000</v>
      </c>
      <c r="D14" s="1">
        <f>SUMIF('Payments'!$C:$C,$A14,'Payments'!$E:$E)</f>
        <v>30000</v>
      </c>
      <c r="E14" s="1">
        <f>C14-D14</f>
        <v>0</v>
      </c>
    </row>
    <row r="15">
      <c r="A15" t="str">
        <v>chair arrangment soyarik gardan</v>
      </c>
      <c r="B15" t="str">
        <v>Venue &amp; Hall</v>
      </c>
      <c r="C15" s="1">
        <v>3000</v>
      </c>
      <c r="D15" s="1">
        <f>SUMIF('Payments'!$C:$C,$A15,'Payments'!$E:$E)</f>
        <v>3000</v>
      </c>
      <c r="E15" s="1">
        <f>C15-D15</f>
        <v>0</v>
      </c>
    </row>
    <row r="16">
      <c r="A16" t="str">
        <v>Colour &amp; plumber</v>
      </c>
      <c r="B16" t="str">
        <v>Miscellaneous</v>
      </c>
      <c r="C16" s="1">
        <v>800</v>
      </c>
      <c r="D16" s="1">
        <f>SUMIF('Payments'!$C:$C,$A16,'Payments'!$E:$E)</f>
        <v>800</v>
      </c>
      <c r="E16" s="1">
        <f>C16-D16</f>
        <v>0</v>
      </c>
    </row>
    <row r="17">
      <c r="A17" t="str">
        <v>Crackers</v>
      </c>
      <c r="B17" t="str">
        <v>Music &amp; Entertainment</v>
      </c>
      <c r="C17" s="1">
        <v>5500</v>
      </c>
      <c r="D17" s="1">
        <f>SUMIF('Payments'!$C:$C,$A17,'Payments'!$E:$E)</f>
        <v>5500</v>
      </c>
      <c r="E17" s="1">
        <f>C17-D17</f>
        <v>0</v>
      </c>
    </row>
    <row r="18">
      <c r="A18" t="str">
        <v>Cream House Lunch</v>
      </c>
      <c r="B18" t="str">
        <v>Food &amp; Catering</v>
      </c>
      <c r="C18" s="1">
        <v>1124</v>
      </c>
      <c r="D18" s="1">
        <f>SUMIF('Payments'!$C:$C,$A18,'Payments'!$E:$E)</f>
        <v>1124</v>
      </c>
      <c r="E18" s="1">
        <f>C18-D18</f>
        <v>0</v>
      </c>
    </row>
    <row r="19">
      <c r="A19" t="str">
        <v>Day night Flower Decoration - (hall)</v>
      </c>
      <c r="B19" t="str">
        <v>Decoration</v>
      </c>
      <c r="C19" s="1">
        <v>161000</v>
      </c>
      <c r="D19" s="1">
        <f>SUMIF('Payments'!$C:$C,$A19,'Payments'!$E:$E)</f>
        <v>161000</v>
      </c>
      <c r="E19" s="1">
        <f>C19-D19</f>
        <v>0</v>
      </c>
    </row>
    <row r="20">
      <c r="A20" t="str">
        <v>Famous cotton- Pathani 9</v>
      </c>
      <c r="B20" t="str">
        <v>Clothing &amp; Jewellery</v>
      </c>
      <c r="C20" s="1">
        <v>12150</v>
      </c>
      <c r="D20" s="1">
        <f>SUMIF('Payments'!$C:$C,$A20,'Payments'!$E:$E)</f>
        <v>12150</v>
      </c>
      <c r="E20" s="1">
        <f>C20-D20</f>
        <v>0</v>
      </c>
    </row>
    <row r="21">
      <c r="A21" t="str">
        <v>Famous Tailor - Groom Reception dress</v>
      </c>
      <c r="B21" t="str">
        <v>Clothing &amp; Jewellery</v>
      </c>
      <c r="C21" s="1">
        <v>10000</v>
      </c>
      <c r="D21" s="1">
        <f>SUMIF('Payments'!$C:$C,$A21,'Payments'!$E:$E)</f>
        <v>10000</v>
      </c>
      <c r="E21" s="1">
        <f>C21-D21</f>
        <v>0</v>
      </c>
    </row>
    <row r="22">
      <c r="A22" t="str">
        <v>Food at shopping time</v>
      </c>
      <c r="B22" t="str">
        <v>Miscellaneous</v>
      </c>
      <c r="C22" s="1">
        <v>2609</v>
      </c>
      <c r="D22" s="1">
        <f>SUMIF('Payments'!$C:$C,$A22,'Payments'!$E:$E)</f>
        <v>2609</v>
      </c>
      <c r="E22" s="1">
        <f>C22-D22</f>
        <v>0</v>
      </c>
    </row>
    <row r="23">
      <c r="A23" t="str">
        <v>Ganesh Bhondve Mandva + decoration</v>
      </c>
      <c r="B23" t="str">
        <v>Decoration</v>
      </c>
      <c r="C23" s="1">
        <v>39500</v>
      </c>
      <c r="D23" s="1">
        <f>SUMIF('Payments'!$C:$C,$A23,'Payments'!$E:$E)</f>
        <v>39500</v>
      </c>
      <c r="E23" s="1">
        <f>C23-D23</f>
        <v>0</v>
      </c>
    </row>
    <row r="24">
      <c r="A24" t="str">
        <v>Garva Biryani, hardware expense, flower</v>
      </c>
      <c r="B24" t="str">
        <v>Miscellaneous</v>
      </c>
      <c r="C24" s="1">
        <v>410</v>
      </c>
      <c r="D24" s="1">
        <f>SUMIF('Payments'!$C:$C,$A24,'Payments'!$E:$E)</f>
        <v>410</v>
      </c>
      <c r="E24" s="1">
        <f>C24-D24</f>
        <v>0</v>
      </c>
    </row>
    <row r="25">
      <c r="A25" t="str">
        <v>Groom haircut and other saloon expences</v>
      </c>
      <c r="B25" t="str">
        <v>Beauty &amp; Mehendi</v>
      </c>
      <c r="C25" s="1">
        <v>500</v>
      </c>
      <c r="D25" s="1">
        <f>SUMIF('Payments'!$C:$C,$A25,'Payments'!$E:$E)</f>
        <v>500</v>
      </c>
      <c r="E25" s="1">
        <f>C25-D25</f>
        <v>0</v>
      </c>
    </row>
    <row r="26">
      <c r="A26" t="str">
        <v>Huseni Caterers</v>
      </c>
      <c r="B26" t="str">
        <v>Food &amp; Catering</v>
      </c>
      <c r="C26" s="1">
        <v>575000</v>
      </c>
      <c r="D26" s="1">
        <f>SUMIF('Payments'!$C:$C,$A26,'Payments'!$E:$E)</f>
        <v>575000</v>
      </c>
      <c r="E26" s="1">
        <f>C26-D26</f>
        <v>0</v>
      </c>
    </row>
    <row r="27">
      <c r="A27" t="str">
        <v>Ice Cream, vada pav, Irani Cafe, Milk</v>
      </c>
      <c r="B27" t="str">
        <v>Food &amp; Catering</v>
      </c>
      <c r="C27" s="1">
        <v>3000</v>
      </c>
      <c r="D27" s="1">
        <f>SUMIF('Payments'!$C:$C,$A27,'Payments'!$E:$E)</f>
        <v>3000</v>
      </c>
      <c r="E27" s="1">
        <f>C27-D27</f>
        <v>0</v>
      </c>
    </row>
    <row r="28">
      <c r="A28" t="str">
        <v>Invitation Card (Shubham)</v>
      </c>
      <c r="B28" t="str">
        <v>Invitations &amp; Printing</v>
      </c>
      <c r="C28" s="1">
        <v>1500</v>
      </c>
      <c r="D28" s="1">
        <f>SUMIF('Payments'!$C:$C,$A28,'Payments'!$E:$E)</f>
        <v>1500</v>
      </c>
      <c r="E28" s="1">
        <f>C28-D28</f>
        <v>0</v>
      </c>
    </row>
    <row r="29">
      <c r="A29" t="str">
        <v>Invitation Card (treaditional)</v>
      </c>
      <c r="B29" t="str">
        <v>Invitations &amp; Printing</v>
      </c>
      <c r="C29" s="1">
        <v>3675</v>
      </c>
      <c r="D29" s="1">
        <f>SUMIF('Payments'!$C:$C,$A29,'Payments'!$E:$E)</f>
        <v>3675</v>
      </c>
      <c r="E29" s="1">
        <f>C29-D29</f>
        <v>0</v>
      </c>
    </row>
    <row r="30">
      <c r="A30" t="str">
        <v>Lucky Mattan Shop (Bakra for haldi)</v>
      </c>
      <c r="B30" t="str">
        <v>Food &amp; Catering</v>
      </c>
      <c r="C30" s="1">
        <v>10000</v>
      </c>
      <c r="D30" s="1">
        <f>SUMIF('Payments'!$C:$C,$A30,'Payments'!$E:$E)</f>
        <v>10000</v>
      </c>
      <c r="E30" s="1">
        <f>C30-D30</f>
        <v>0</v>
      </c>
    </row>
    <row r="31">
      <c r="A31" t="str">
        <v>Lunch After Mariage Shiv Sunder</v>
      </c>
      <c r="B31" t="str">
        <v>Food &amp; Catering</v>
      </c>
      <c r="C31" s="1">
        <v>2700</v>
      </c>
      <c r="D31" s="1">
        <f>SUMIF('Payments'!$C:$C,$A31,'Payments'!$E:$E)</f>
        <v>0</v>
      </c>
      <c r="E31" s="1">
        <f>C31-D31</f>
        <v>2700</v>
      </c>
    </row>
    <row r="32">
      <c r="A32" t="str">
        <v>Meher Amount</v>
      </c>
      <c r="B32" t="str">
        <v>Gifts &amp; Return Gifts</v>
      </c>
      <c r="C32" s="1">
        <v>11111</v>
      </c>
      <c r="D32" s="1">
        <f>SUMIF('Payments'!$C:$C,$A32,'Payments'!$E:$E)</f>
        <v>11111</v>
      </c>
      <c r="E32" s="1">
        <f>C32-D32</f>
        <v>0</v>
      </c>
    </row>
    <row r="33">
      <c r="A33" t="str">
        <v>miscellaneous ratjaka (chicken, tags, bartan)</v>
      </c>
      <c r="B33" t="str">
        <v>Venue &amp; Hall</v>
      </c>
      <c r="C33" s="1">
        <v>5412</v>
      </c>
      <c r="D33" s="1">
        <f>SUMIF('Payments'!$C:$C,$A33,'Payments'!$E:$E)</f>
        <v>5412</v>
      </c>
      <c r="E33" s="1">
        <f>C33-D33</f>
        <v>0</v>
      </c>
    </row>
    <row r="34">
      <c r="A34" t="str">
        <v>Mom Miscellaneous Bangals, Area cleaning other expence</v>
      </c>
      <c r="B34" t="str">
        <v>Miscellaneous</v>
      </c>
      <c r="C34" s="1">
        <v>15000</v>
      </c>
      <c r="D34" s="1">
        <f>SUMIF('Payments'!$C:$C,$A34,'Payments'!$E:$E)</f>
        <v>15000</v>
      </c>
      <c r="E34" s="1">
        <f>C34-D34</f>
        <v>0</v>
      </c>
    </row>
    <row r="35">
      <c r="A35" t="str">
        <v>Moolchand - Bride reception dress</v>
      </c>
      <c r="B35" t="str">
        <v>Clothing &amp; Jewellery</v>
      </c>
      <c r="C35" s="1">
        <v>7604</v>
      </c>
      <c r="D35" s="1">
        <f>SUMIF('Payments'!$C:$C,$A35,'Payments'!$E:$E)</f>
        <v>7604</v>
      </c>
      <c r="E35" s="1">
        <f>C35-D35</f>
        <v>0</v>
      </c>
    </row>
    <row r="36">
      <c r="A36" t="str">
        <v>Moolchand Sarees basta</v>
      </c>
      <c r="B36" t="str">
        <v>Clothing &amp; Jewellery</v>
      </c>
      <c r="C36" s="1">
        <v>24880</v>
      </c>
      <c r="D36" s="1">
        <f>SUMIF('Payments'!$C:$C,$A36,'Payments'!$E:$E)</f>
        <v>24880</v>
      </c>
      <c r="E36" s="1">
        <f>C36-D36</f>
        <v>0</v>
      </c>
    </row>
    <row r="37">
      <c r="A37" t="str">
        <v>Morya Collections - Groom wedding dress</v>
      </c>
      <c r="B37" t="str">
        <v>Clothing &amp; Jewellery</v>
      </c>
      <c r="C37" s="1">
        <v>13680</v>
      </c>
      <c r="D37" s="1">
        <f>SUMIF('Payments'!$C:$C,$A37,'Payments'!$E:$E)</f>
        <v>13680</v>
      </c>
      <c r="E37" s="1">
        <f>C37-D37</f>
        <v>0</v>
      </c>
    </row>
    <row r="38">
      <c r="A38" t="str">
        <v>Morya mojadii</v>
      </c>
      <c r="B38" t="str">
        <v>Clothing &amp; Jewellery</v>
      </c>
      <c r="C38" s="1">
        <v>400</v>
      </c>
      <c r="D38" s="1">
        <f>SUMIF('Payments'!$C:$C,$A38,'Payments'!$E:$E)</f>
        <v>400</v>
      </c>
      <c r="E38" s="1">
        <f>C38-D38</f>
        <v>0</v>
      </c>
    </row>
    <row r="39">
      <c r="A39" t="str">
        <v>Mummy Hospital Expence Mate Docter</v>
      </c>
      <c r="B39" t="str">
        <v>Miscellaneous</v>
      </c>
      <c r="C39" s="1">
        <v>2900</v>
      </c>
      <c r="D39" s="1">
        <f>SUMIF('Payments'!$C:$C,$A39,'Payments'!$E:$E)</f>
        <v>2900</v>
      </c>
      <c r="E39" s="1">
        <f>C39-D39</f>
        <v>0</v>
      </c>
    </row>
    <row r="40">
      <c r="A40" t="str">
        <v>Mummy sadi</v>
      </c>
      <c r="B40" t="str">
        <v>Clothing &amp; Jewellery</v>
      </c>
      <c r="C40" s="1">
        <v>1600</v>
      </c>
      <c r="D40" s="1">
        <f>SUMIF('Payments'!$C:$C,$A40,'Payments'!$E:$E)</f>
        <v>1600</v>
      </c>
      <c r="E40" s="1">
        <f>C40-D40</f>
        <v>0</v>
      </c>
    </row>
    <row r="41">
      <c r="A41" t="str">
        <v>Music in reception &amp; sangit</v>
      </c>
      <c r="B41" t="str">
        <v>Music &amp; Entertainment</v>
      </c>
      <c r="C41" s="1">
        <v>13000</v>
      </c>
      <c r="D41" s="1">
        <f>SUMIF('Payments'!$C:$C,$A41,'Payments'!$E:$E)</f>
        <v>13000</v>
      </c>
      <c r="E41" s="1">
        <f>C41-D41</f>
        <v>0</v>
      </c>
    </row>
    <row r="42">
      <c r="A42" t="str">
        <v>Navkar Sales Corporation</v>
      </c>
      <c r="B42" t="str">
        <v>Food &amp; Catering</v>
      </c>
      <c r="C42" s="1">
        <v>8649</v>
      </c>
      <c r="D42" s="1">
        <f>SUMIF('Payments'!$C:$C,$A42,'Payments'!$E:$E)</f>
        <v>8649</v>
      </c>
      <c r="E42" s="1">
        <f>C42-D42</f>
        <v>0</v>
      </c>
    </row>
    <row r="43">
      <c r="A43" t="str">
        <v>New Balaji Treaders</v>
      </c>
      <c r="B43" t="str">
        <v>Food &amp; Catering</v>
      </c>
      <c r="C43" s="1">
        <v>575</v>
      </c>
      <c r="D43" s="1">
        <f>SUMIF('Payments'!$C:$C,$A43,'Payments'!$E:$E)</f>
        <v>575</v>
      </c>
      <c r="E43" s="1">
        <f>C43-D43</f>
        <v>0</v>
      </c>
    </row>
    <row r="44">
      <c r="A44" t="str">
        <v>Parag bride 3 dress</v>
      </c>
      <c r="B44" t="str">
        <v>Clothing &amp; Jewellery</v>
      </c>
      <c r="C44" s="1">
        <v>5700</v>
      </c>
      <c r="D44" s="1">
        <f>SUMIF('Payments'!$C:$C,$A44,'Payments'!$E:$E)</f>
        <v>5700</v>
      </c>
      <c r="E44" s="1">
        <f>C44-D44</f>
        <v>0</v>
      </c>
    </row>
    <row r="45">
      <c r="A45" t="str">
        <v>Parag Relative 20 dressed &amp; other cloths</v>
      </c>
      <c r="B45" t="str">
        <v>Clothing &amp; Jewellery</v>
      </c>
      <c r="C45" s="1">
        <v>24000</v>
      </c>
      <c r="D45" s="1">
        <f>SUMIF('Payments'!$C:$C,$A45,'Payments'!$E:$E)</f>
        <v>24000</v>
      </c>
      <c r="E45" s="1">
        <f>C45-D45</f>
        <v>0</v>
      </c>
    </row>
    <row r="46">
      <c r="A46" t="str">
        <v>Petrol Glanza</v>
      </c>
      <c r="B46" t="str">
        <v>Miscellaneous</v>
      </c>
      <c r="C46" s="1">
        <v>4000</v>
      </c>
      <c r="D46" s="1">
        <f>SUMIF('Payments'!$C:$C,$A46,'Payments'!$E:$E)</f>
        <v>4000</v>
      </c>
      <c r="E46" s="1">
        <f>C46-D46</f>
        <v>0</v>
      </c>
    </row>
    <row r="47">
      <c r="A47" t="str">
        <v>Petrol Glanza, Himalyan, PUC, Wheel Alingment, Engine cover Advance</v>
      </c>
      <c r="B47" t="str">
        <v>Transport</v>
      </c>
      <c r="C47" s="1">
        <v>4000</v>
      </c>
      <c r="D47" s="1">
        <f>SUMIF('Payments'!$C:$C,$A47,'Payments'!$E:$E)</f>
        <v>4000</v>
      </c>
      <c r="E47" s="1">
        <f>C47-D47</f>
        <v>0</v>
      </c>
    </row>
    <row r="48">
      <c r="A48" t="str">
        <v>Pratap films and Photography</v>
      </c>
      <c r="B48" t="str">
        <v>Photography &amp; Video</v>
      </c>
      <c r="C48" s="1">
        <v>100000</v>
      </c>
      <c r="D48" s="1">
        <f>SUMIF('Payments'!$C:$C,$A48,'Payments'!$E:$E)</f>
        <v>70000</v>
      </c>
      <c r="E48" s="1">
        <f>C48-D48</f>
        <v>30000</v>
      </c>
    </row>
    <row r="49">
      <c r="A49" t="str">
        <v>Pravin Masale</v>
      </c>
      <c r="B49" t="str">
        <v>Food &amp; Catering</v>
      </c>
      <c r="C49" s="1">
        <v>3345</v>
      </c>
      <c r="D49" s="1">
        <f>SUMIF('Payments'!$C:$C,$A49,'Payments'!$E:$E)</f>
        <v>3345</v>
      </c>
      <c r="E49" s="1">
        <f>C49-D49</f>
        <v>0</v>
      </c>
    </row>
    <row r="50">
      <c r="A50" t="str">
        <v>Prewedding shoot expences(lunch, fuel and other)</v>
      </c>
      <c r="B50" t="str">
        <v>Miscellaneous</v>
      </c>
      <c r="C50" s="1">
        <v>11840</v>
      </c>
      <c r="D50" s="1">
        <f>SUMIF('Payments'!$C:$C,$A50,'Payments'!$E:$E)</f>
        <v>11840</v>
      </c>
      <c r="E50" s="1">
        <f>C50-D50</f>
        <v>0</v>
      </c>
    </row>
    <row r="51">
      <c r="A51" t="str">
        <v>Sehera, Har, Guche &amp; Gajre</v>
      </c>
      <c r="B51" t="str">
        <v>Decoration</v>
      </c>
      <c r="C51" s="1">
        <v>9000</v>
      </c>
      <c r="D51" s="1">
        <f>SUMIF('Payments'!$C:$C,$A51,'Payments'!$E:$E)</f>
        <v>9000</v>
      </c>
      <c r="E51" s="1">
        <f>C51-D51</f>
        <v>0</v>
      </c>
    </row>
    <row r="52">
      <c r="A52" t="str">
        <v>Shadi &amp; reception Rasam</v>
      </c>
      <c r="B52" t="str">
        <v>Gifts &amp; Return Gifts</v>
      </c>
      <c r="C52" s="1">
        <v>6000</v>
      </c>
      <c r="D52" s="1">
        <f>SUMIF('Payments'!$C:$C,$A52,'Payments'!$E:$E)</f>
        <v>6000</v>
      </c>
      <c r="E52" s="1">
        <f>C52-D52</f>
        <v>0</v>
      </c>
    </row>
    <row r="53">
      <c r="A53" t="str">
        <v>Shireen Dress</v>
      </c>
      <c r="B53" t="str">
        <v>Clothing &amp; Jewellery</v>
      </c>
      <c r="C53" s="1">
        <v>2000</v>
      </c>
      <c r="D53" s="1">
        <f>SUMIF('Payments'!$C:$C,$A53,'Payments'!$E:$E)</f>
        <v>2000</v>
      </c>
      <c r="E53" s="1">
        <f>C53-D53</f>
        <v>0</v>
      </c>
    </row>
    <row r="54">
      <c r="A54" t="str">
        <v>Soyarik mangal karyalay</v>
      </c>
      <c r="B54" t="str">
        <v>Venue &amp; Hall</v>
      </c>
      <c r="C54" s="1">
        <v>105000</v>
      </c>
      <c r="D54" s="1">
        <f>SUMIF('Payments'!$C:$C,$A54,'Payments'!$E:$E)</f>
        <v>105000</v>
      </c>
      <c r="E54" s="1">
        <f>C54-D54</f>
        <v>0</v>
      </c>
    </row>
    <row r="55">
      <c r="A55" t="str">
        <v>Star Bazaar - Prewedding dress</v>
      </c>
      <c r="B55" t="str">
        <v>Clothing &amp; Jewellery</v>
      </c>
      <c r="C55" s="1">
        <v>6190</v>
      </c>
      <c r="D55" s="1">
        <f>SUMIF('Payments'!$C:$C,$A55,'Payments'!$E:$E)</f>
        <v>6190</v>
      </c>
      <c r="E55" s="1">
        <f>C55-D55</f>
        <v>0</v>
      </c>
    </row>
    <row r="56">
      <c r="A56" t="str">
        <v>tampo traveller</v>
      </c>
      <c r="B56" t="str">
        <v>Transport</v>
      </c>
      <c r="C56" s="1">
        <v>7500</v>
      </c>
      <c r="D56" s="1">
        <f>SUMIF('Payments'!$C:$C,$A56,'Payments'!$E:$E)</f>
        <v>7500</v>
      </c>
      <c r="E56" s="1">
        <f>C56-D56</f>
        <v>0</v>
      </c>
    </row>
    <row r="57">
      <c r="A57" t="str">
        <v>Tushar Traders Oil</v>
      </c>
      <c r="B57" t="str">
        <v>Food &amp; Catering</v>
      </c>
      <c r="C57" s="1">
        <v>5100</v>
      </c>
      <c r="D57" s="1">
        <f>SUMIF('Payments'!$C:$C,$A57,'Payments'!$E:$E)</f>
        <v>5100</v>
      </c>
      <c r="E57" s="1">
        <f>C57-D57</f>
        <v>0</v>
      </c>
    </row>
    <row r="58">
      <c r="A58" t="str">
        <v>Untracked expenses Petrol, Food, small bills</v>
      </c>
      <c r="B58" t="str">
        <v>Miscellaneous</v>
      </c>
      <c r="C58" s="1">
        <v>9150</v>
      </c>
      <c r="D58" s="1">
        <f>SUMIF('Payments'!$C:$C,$A58,'Payments'!$E:$E)</f>
        <v>9150</v>
      </c>
      <c r="E58" s="1">
        <f>C58-D58</f>
        <v>0</v>
      </c>
    </row>
    <row r="59">
      <c r="A59" t="str">
        <v>Total</v>
      </c>
      <c r="C59" s="1">
        <f>SUM(C2:C58)</f>
        <v>1332379</v>
      </c>
      <c r="D59" s="1">
        <f>SUM(D2:D58)</f>
        <v>1299679</v>
      </c>
      <c r="E59" s="1">
        <f>SUM(E2:E58)</f>
        <v>32700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Payments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