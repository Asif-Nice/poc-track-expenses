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'Budget'!A1:F18</definedName>
    <definedName name="_xlnm._FilterDatabase" localSheetId="1">'Payments'!A1:H18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2c67b679</v>
      </c>
      <c r="B9" t="str">
        <v>Moolchand Sarees basta</v>
      </c>
      <c r="C9" t="str">
        <v>Clothing &amp; Jewellery</v>
      </c>
      <c r="D9" s="1">
        <v>24880</v>
      </c>
      <c r="E9" s="2" t="str">
        <v/>
      </c>
      <c r="F9" t="str">
        <v>Moolchand Sarees for basta</v>
      </c>
    </row>
    <row r="10">
      <c r="A10" t="str">
        <v>068998a3</v>
      </c>
      <c r="B10" t="str">
        <v>Morya Collections - Groom wedding dress</v>
      </c>
      <c r="C10" t="str">
        <v>Clothing &amp; Jewellery</v>
      </c>
      <c r="D10" s="1">
        <v>13680</v>
      </c>
      <c r="E10" s="2" t="str">
        <v/>
      </c>
      <c r="F10" t="str">
        <v>Groom wedding dress</v>
      </c>
    </row>
    <row r="11">
      <c r="A11" t="str">
        <v>a78dd739</v>
      </c>
      <c r="B11" t="str">
        <v>Morya mojadii</v>
      </c>
      <c r="C11" t="str">
        <v>Clothing &amp; Jewellery</v>
      </c>
      <c r="D11" s="1">
        <v>400</v>
      </c>
      <c r="E11" s="2" t="str">
        <v/>
      </c>
      <c r="F11" t="str">
        <v>Shoes</v>
      </c>
    </row>
    <row r="12">
      <c r="A12" t="str">
        <v>113a1c1a</v>
      </c>
      <c r="B12" t="str">
        <v>Parag bride 3 dress</v>
      </c>
      <c r="C12" t="str">
        <v>Clothing &amp; Jewellery</v>
      </c>
      <c r="D12" s="1">
        <v>5700</v>
      </c>
      <c r="E12" s="2" t="str">
        <v/>
      </c>
      <c r="F12" t="str">
        <v>bride 3 dress</v>
      </c>
    </row>
    <row r="13">
      <c r="A13" t="str">
        <v>7896f0b1</v>
      </c>
      <c r="B13" t="str">
        <v>Parag Relative 20 dressed &amp; other cloths</v>
      </c>
      <c r="C13" t="str">
        <v>Clothing &amp; Jewellery</v>
      </c>
      <c r="D13" s="1">
        <v>24000</v>
      </c>
      <c r="E13" s="2" t="str">
        <v/>
      </c>
      <c r="F13" t="str">
        <v>Parag Relative 20 dressed &amp; other cloths</v>
      </c>
    </row>
    <row r="14">
      <c r="A14" t="str">
        <v>beb44857</v>
      </c>
      <c r="B14" t="str">
        <v>Pratap films and Photography</v>
      </c>
      <c r="C14" t="str">
        <v>Photography &amp; Video</v>
      </c>
      <c r="D14" s="1">
        <v>100000</v>
      </c>
      <c r="E14" s="2" t="str">
        <v>9021598286</v>
      </c>
      <c r="F14" t="str">
        <v>Photography cost</v>
      </c>
    </row>
    <row r="15">
      <c r="A15" t="str">
        <v>6d180155</v>
      </c>
      <c r="B15" t="str">
        <v>Prewedding shoot expences(lunch, fuel and other)</v>
      </c>
      <c r="C15" t="str">
        <v>Miscellaneous</v>
      </c>
      <c r="D15" s="1">
        <v>11840</v>
      </c>
      <c r="E15" s="2" t="str">
        <v/>
      </c>
      <c r="F15" t="str">
        <v>Prewedding shoot expences(lunch, fuel and other)</v>
      </c>
    </row>
    <row r="16">
      <c r="A16" t="str">
        <v>18d2728f</v>
      </c>
      <c r="B16" t="str">
        <v>Sadi basta</v>
      </c>
      <c r="C16" t="str">
        <v>Clothing &amp; Jewellery</v>
      </c>
      <c r="D16" s="1">
        <v>25000</v>
      </c>
      <c r="E16" s="2" t="str">
        <v/>
      </c>
      <c r="F16" t="str">
        <v>Baste k sadiya</v>
      </c>
    </row>
    <row r="17">
      <c r="A17" t="str">
        <v>04ece648</v>
      </c>
      <c r="B17" t="str">
        <v>Soyarik mangal karyalay</v>
      </c>
      <c r="C17" t="str">
        <v>Venue &amp; Hall</v>
      </c>
      <c r="D17" s="1">
        <v>105000</v>
      </c>
      <c r="E17" s="2" t="str">
        <v>9850444117</v>
      </c>
      <c r="F17" t="str">
        <v>venue for reception</v>
      </c>
    </row>
    <row r="18">
      <c r="A18" t="str">
        <v>bd5f8d26</v>
      </c>
      <c r="B18" t="str">
        <v>Star Bazaar - Prewedding dress</v>
      </c>
      <c r="C18" t="str">
        <v>Clothing &amp; Jewellery</v>
      </c>
      <c r="D18" s="1">
        <v>6190</v>
      </c>
      <c r="E18" s="2" t="str">
        <v/>
      </c>
      <c r="F18" t="str">
        <v>Prewedding dress</v>
      </c>
    </row>
  </sheetData>
  <autoFilter ref="A1:F18"/>
  <ignoredErrors>
    <ignoredError numberStoredAsText="1" sqref="A1:F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</sheetData>
  <autoFilter ref="A1:H18"/>
  <ignoredErrors>
    <ignoredError numberStoredAsText="1" sqref="A1:H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Moolchand Sarees basta</v>
      </c>
      <c r="B9" t="str">
        <v>Clothing &amp; Jewellery</v>
      </c>
      <c r="C9" s="1">
        <v>24880</v>
      </c>
      <c r="D9" s="1">
        <f>SUMIF('Payments'!$C:$C,$A9,'Payments'!$E:$E)</f>
        <v>24880</v>
      </c>
      <c r="E9" s="1">
        <f>C9-D9</f>
        <v>0</v>
      </c>
    </row>
    <row r="10">
      <c r="A10" t="str">
        <v>Morya Collections - Groom wedding dress</v>
      </c>
      <c r="B10" t="str">
        <v>Clothing &amp; Jewellery</v>
      </c>
      <c r="C10" s="1">
        <v>13680</v>
      </c>
      <c r="D10" s="1">
        <f>SUMIF('Payments'!$C:$C,$A10,'Payments'!$E:$E)</f>
        <v>13680</v>
      </c>
      <c r="E10" s="1">
        <f>C10-D10</f>
        <v>0</v>
      </c>
    </row>
    <row r="11">
      <c r="A11" t="str">
        <v>Morya mojadii</v>
      </c>
      <c r="B11" t="str">
        <v>Clothing &amp; Jewellery</v>
      </c>
      <c r="C11" s="1">
        <v>400</v>
      </c>
      <c r="D11" s="1">
        <f>SUMIF('Payments'!$C:$C,$A11,'Payments'!$E:$E)</f>
        <v>400</v>
      </c>
      <c r="E11" s="1">
        <f>C11-D11</f>
        <v>0</v>
      </c>
    </row>
    <row r="12">
      <c r="A12" t="str">
        <v>Parag bride 3 dress</v>
      </c>
      <c r="B12" t="str">
        <v>Clothing &amp; Jewellery</v>
      </c>
      <c r="C12" s="1">
        <v>5700</v>
      </c>
      <c r="D12" s="1">
        <f>SUMIF('Payments'!$C:$C,$A12,'Payments'!$E:$E)</f>
        <v>5700</v>
      </c>
      <c r="E12" s="1">
        <f>C12-D12</f>
        <v>0</v>
      </c>
    </row>
    <row r="13">
      <c r="A13" t="str">
        <v>Parag Relative 20 dressed &amp; other cloths</v>
      </c>
      <c r="B13" t="str">
        <v>Clothing &amp; Jewellery</v>
      </c>
      <c r="C13" s="1">
        <v>24000</v>
      </c>
      <c r="D13" s="1">
        <f>SUMIF('Payments'!$C:$C,$A13,'Payments'!$E:$E)</f>
        <v>24000</v>
      </c>
      <c r="E13" s="1">
        <f>C13-D13</f>
        <v>0</v>
      </c>
    </row>
    <row r="14">
      <c r="A14" t="str">
        <v>Pratap films and Photography</v>
      </c>
      <c r="B14" t="str">
        <v>Photography &amp; Video</v>
      </c>
      <c r="C14" s="1">
        <v>100000</v>
      </c>
      <c r="D14" s="1">
        <f>SUMIF('Payments'!$C:$C,$A14,'Payments'!$E:$E)</f>
        <v>10000</v>
      </c>
      <c r="E14" s="1">
        <f>C14-D14</f>
        <v>90000</v>
      </c>
    </row>
    <row r="15">
      <c r="A15" t="str">
        <v>Prewedding shoot expences(lunch, fuel and other)</v>
      </c>
      <c r="B15" t="str">
        <v>Miscellaneous</v>
      </c>
      <c r="C15" s="1">
        <v>11840</v>
      </c>
      <c r="D15" s="1">
        <f>SUMIF('Payments'!$C:$C,$A15,'Payments'!$E:$E)</f>
        <v>11840</v>
      </c>
      <c r="E15" s="1">
        <f>C15-D15</f>
        <v>0</v>
      </c>
    </row>
    <row r="16">
      <c r="A16" t="str">
        <v>Sadi basta</v>
      </c>
      <c r="B16" t="str">
        <v>Clothing &amp; Jewellery</v>
      </c>
      <c r="C16" s="1">
        <v>25000</v>
      </c>
      <c r="D16" s="1">
        <f>SUMIF('Payments'!$C:$C,$A16,'Payments'!$E:$E)</f>
        <v>25000</v>
      </c>
      <c r="E16" s="1">
        <f>C16-D16</f>
        <v>0</v>
      </c>
    </row>
    <row r="17">
      <c r="A17" t="str">
        <v>Soyarik mangal karyalay</v>
      </c>
      <c r="B17" t="str">
        <v>Venue &amp; Hall</v>
      </c>
      <c r="C17" s="1">
        <v>105000</v>
      </c>
      <c r="D17" s="1">
        <f>SUMIF('Payments'!$C:$C,$A17,'Payments'!$E:$E)</f>
        <v>15000</v>
      </c>
      <c r="E17" s="1">
        <f>C17-D17</f>
        <v>90000</v>
      </c>
    </row>
    <row r="18">
      <c r="A18" t="str">
        <v>Star Bazaar - Prewedding dress</v>
      </c>
      <c r="B18" t="str">
        <v>Clothing &amp; Jewellery</v>
      </c>
      <c r="C18" s="1">
        <v>6190</v>
      </c>
      <c r="D18" s="1">
        <f>SUMIF('Payments'!$C:$C,$A18,'Payments'!$E:$E)</f>
        <v>6190</v>
      </c>
      <c r="E18" s="1">
        <f>C18-D18</f>
        <v>0</v>
      </c>
    </row>
    <row r="19">
      <c r="A19" t="str">
        <v>Total</v>
      </c>
      <c r="C19" s="1">
        <f>SUM(C2:C18)</f>
        <v>1058903</v>
      </c>
      <c r="D19" s="1">
        <f>SUM(D2:D18)</f>
        <v>225903</v>
      </c>
      <c r="E19" s="1">
        <f>SUM(E2:E18)</f>
        <v>833000</v>
      </c>
    </row>
  </sheetData>
  <ignoredErrors>
    <ignoredError numberStoredAsText="1" sqref="A1:E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