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'Budget'!A1:F40</definedName>
    <definedName name="_xlnm._FilterDatabase" localSheetId="1">'Payments'!A1:H43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dc70b2a1</v>
      </c>
      <c r="B20" t="str">
        <v>Ice Cream, vada pav, Irani Cafe, Milk</v>
      </c>
      <c r="C20" t="str">
        <v>Food &amp; Catering</v>
      </c>
      <c r="D20" s="1">
        <v>3000</v>
      </c>
      <c r="E20" s="2" t="str">
        <v/>
      </c>
      <c r="F20" t="str">
        <v>internal expense</v>
      </c>
    </row>
    <row r="21">
      <c r="A21" t="str">
        <v>aa710190</v>
      </c>
      <c r="B21" t="str">
        <v>Invitation Card (Shubham)</v>
      </c>
      <c r="C21" t="str">
        <v>Invitations &amp; Printing</v>
      </c>
      <c r="D21" s="1">
        <v>1500</v>
      </c>
      <c r="E21" s="2" t="str">
        <v>7385125161</v>
      </c>
      <c r="F21" t="str">
        <v>Invitation Card (Shubham)  100</v>
      </c>
    </row>
    <row r="22">
      <c r="A22" t="str">
        <v>1e95c55a</v>
      </c>
      <c r="B22" t="str">
        <v>Invitation Card (treaditional)</v>
      </c>
      <c r="C22" t="str">
        <v>Invitations &amp; Printing</v>
      </c>
      <c r="D22" s="1">
        <v>3675</v>
      </c>
      <c r="E22" s="2" t="str">
        <v>9890326266</v>
      </c>
      <c r="F22" t="str">
        <v>Invitation Card (treaditional)</v>
      </c>
    </row>
    <row r="23">
      <c r="A23" t="str">
        <v>c7e8b352</v>
      </c>
      <c r="B23" t="str">
        <v>Moolchand - Bride reception dress</v>
      </c>
      <c r="C23" t="str">
        <v>Clothing &amp; Jewellery</v>
      </c>
      <c r="D23" s="1">
        <v>7604</v>
      </c>
      <c r="E23" s="2" t="str">
        <v/>
      </c>
      <c r="F23" t="str">
        <v>Bride reception dress</v>
      </c>
    </row>
    <row r="24">
      <c r="A24" t="str">
        <v>2c67b679</v>
      </c>
      <c r="B24" t="str">
        <v>Moolchand Sarees basta</v>
      </c>
      <c r="C24" t="str">
        <v>Clothing &amp; Jewellery</v>
      </c>
      <c r="D24" s="1">
        <v>24880</v>
      </c>
      <c r="E24" s="2" t="str">
        <v/>
      </c>
      <c r="F24" t="str">
        <v>Moolchand Sarees for basta</v>
      </c>
    </row>
    <row r="25">
      <c r="A25" t="str">
        <v>068998a3</v>
      </c>
      <c r="B25" t="str">
        <v>Morya Collections - Groom wedding dress</v>
      </c>
      <c r="C25" t="str">
        <v>Clothing &amp; Jewellery</v>
      </c>
      <c r="D25" s="1">
        <v>13680</v>
      </c>
      <c r="E25" s="2" t="str">
        <v/>
      </c>
      <c r="F25" t="str">
        <v>Groom wedding dress</v>
      </c>
    </row>
    <row r="26">
      <c r="A26" t="str">
        <v>a78dd739</v>
      </c>
      <c r="B26" t="str">
        <v>Morya mojadii</v>
      </c>
      <c r="C26" t="str">
        <v>Clothing &amp; Jewellery</v>
      </c>
      <c r="D26" s="1">
        <v>400</v>
      </c>
      <c r="E26" s="2" t="str">
        <v/>
      </c>
      <c r="F26" t="str">
        <v>Shoes</v>
      </c>
    </row>
    <row r="27">
      <c r="A27" t="str">
        <v>30b69ec5</v>
      </c>
      <c r="B27" t="str">
        <v>Mummy sadi</v>
      </c>
      <c r="C27" t="str">
        <v>Clothing &amp; Jewellery</v>
      </c>
      <c r="D27" s="1">
        <v>1600</v>
      </c>
      <c r="E27" s="2" t="str">
        <v/>
      </c>
      <c r="F27" t="str">
        <v/>
      </c>
    </row>
    <row r="28">
      <c r="A28" t="str">
        <v>eebc3aaf</v>
      </c>
      <c r="B28" t="str">
        <v>Navkar Sales Corporation</v>
      </c>
      <c r="C28" t="str">
        <v>Food &amp; Catering</v>
      </c>
      <c r="D28" s="1">
        <v>8649</v>
      </c>
      <c r="E28" s="2" t="str">
        <v/>
      </c>
      <c r="F28" t="str">
        <v>Navkar Sales Corporation</v>
      </c>
    </row>
    <row r="29">
      <c r="A29" t="str">
        <v>e6b755dc</v>
      </c>
      <c r="B29" t="str">
        <v>New Balaji Treaders</v>
      </c>
      <c r="C29" t="str">
        <v>Food &amp; Catering</v>
      </c>
      <c r="D29" s="1">
        <v>575</v>
      </c>
      <c r="E29" s="2" t="str">
        <v/>
      </c>
      <c r="F29" t="str">
        <v>New Balaji Treaders</v>
      </c>
    </row>
    <row r="30">
      <c r="A30" t="str">
        <v>113a1c1a</v>
      </c>
      <c r="B30" t="str">
        <v>Parag bride 3 dress</v>
      </c>
      <c r="C30" t="str">
        <v>Clothing &amp; Jewellery</v>
      </c>
      <c r="D30" s="1">
        <v>5700</v>
      </c>
      <c r="E30" s="2" t="str">
        <v/>
      </c>
      <c r="F30" t="str">
        <v>bride 3 dress</v>
      </c>
    </row>
    <row r="31">
      <c r="A31" t="str">
        <v>7896f0b1</v>
      </c>
      <c r="B31" t="str">
        <v>Parag Relative 20 dressed &amp; other cloths</v>
      </c>
      <c r="C31" t="str">
        <v>Clothing &amp; Jewellery</v>
      </c>
      <c r="D31" s="1">
        <v>24000</v>
      </c>
      <c r="E31" s="2" t="str">
        <v/>
      </c>
      <c r="F31" t="str">
        <v>Parag Relative 20 dressed &amp; other cloths</v>
      </c>
    </row>
    <row r="32">
      <c r="A32" t="str">
        <v>0421ab42</v>
      </c>
      <c r="B32" t="str">
        <v>Petrol Glanza</v>
      </c>
      <c r="C32" t="str">
        <v>Miscellaneous</v>
      </c>
      <c r="D32" s="1">
        <v>4000</v>
      </c>
      <c r="E32" s="2" t="str">
        <v/>
      </c>
      <c r="F32" t="str">
        <v/>
      </c>
    </row>
    <row r="33">
      <c r="A33" t="str">
        <v>84c049af</v>
      </c>
      <c r="B33" t="str">
        <v>Petrol Glanza, Himalyan, PUC, Wheel Alingment, Engine cover Advance</v>
      </c>
      <c r="C33" t="str">
        <v>Transport</v>
      </c>
      <c r="D33" s="1">
        <v>4000</v>
      </c>
      <c r="E33" s="2" t="str">
        <v/>
      </c>
      <c r="F33" t="str">
        <v/>
      </c>
    </row>
    <row r="34">
      <c r="A34" t="str">
        <v>beb44857</v>
      </c>
      <c r="B34" t="str">
        <v>Pratap films and Photography</v>
      </c>
      <c r="C34" t="str">
        <v>Photography &amp; Video</v>
      </c>
      <c r="D34" s="1">
        <v>100000</v>
      </c>
      <c r="E34" s="2" t="str">
        <v>9021598286</v>
      </c>
      <c r="F34" t="str">
        <v>Photography cost</v>
      </c>
    </row>
    <row r="35">
      <c r="A35" t="str">
        <v>89c1b231</v>
      </c>
      <c r="B35" t="str">
        <v>Pravin Masale</v>
      </c>
      <c r="C35" t="str">
        <v>Food &amp; Catering</v>
      </c>
      <c r="D35" s="1">
        <v>3345</v>
      </c>
      <c r="E35" s="2" t="str">
        <v/>
      </c>
      <c r="F35" t="str">
        <v>Pravin Masale</v>
      </c>
    </row>
    <row r="36">
      <c r="A36" t="str">
        <v>6d180155</v>
      </c>
      <c r="B36" t="str">
        <v>Prewedding shoot expences(lunch, fuel and other)</v>
      </c>
      <c r="C36" t="str">
        <v>Miscellaneous</v>
      </c>
      <c r="D36" s="1">
        <v>11840</v>
      </c>
      <c r="E36" s="2" t="str">
        <v/>
      </c>
      <c r="F36" t="str">
        <v>Prewedding shoot expences(lunch, fuel and other)</v>
      </c>
    </row>
    <row r="37">
      <c r="A37" t="str">
        <v>d1aee56d</v>
      </c>
      <c r="B37" t="str">
        <v>Shireen Dress</v>
      </c>
      <c r="C37" t="str">
        <v>Clothing &amp; Jewellery</v>
      </c>
      <c r="D37" s="1">
        <v>2000</v>
      </c>
      <c r="E37" s="2" t="str">
        <v/>
      </c>
      <c r="F37" t="str">
        <v>Shireen Dress</v>
      </c>
    </row>
    <row r="38">
      <c r="A38" t="str">
        <v>04ece648</v>
      </c>
      <c r="B38" t="str">
        <v>Soyarik mangal karyalay</v>
      </c>
      <c r="C38" t="str">
        <v>Venue &amp; Hall</v>
      </c>
      <c r="D38" s="1">
        <v>105000</v>
      </c>
      <c r="E38" s="2" t="str">
        <v>9850444117</v>
      </c>
      <c r="F38" t="str">
        <v>venue for reception</v>
      </c>
    </row>
    <row r="39">
      <c r="A39" t="str">
        <v>bd5f8d26</v>
      </c>
      <c r="B39" t="str">
        <v>Star Bazaar - Prewedding dress</v>
      </c>
      <c r="C39" t="str">
        <v>Clothing &amp; Jewellery</v>
      </c>
      <c r="D39" s="1">
        <v>6190</v>
      </c>
      <c r="E39" s="2" t="str">
        <v/>
      </c>
      <c r="F39" t="str">
        <v>Prewedding dress</v>
      </c>
    </row>
    <row r="40">
      <c r="A40" t="str">
        <v>db4969e8</v>
      </c>
      <c r="B40" t="str">
        <v>Tushar Traders Oil</v>
      </c>
      <c r="C40" t="str">
        <v>Food &amp; Catering</v>
      </c>
      <c r="D40" s="1">
        <v>5100</v>
      </c>
      <c r="E40" s="2" t="str">
        <v/>
      </c>
      <c r="F40" t="str">
        <v>Tushar Traders Oil</v>
      </c>
    </row>
  </sheetData>
  <autoFilter ref="A1:F40"/>
  <ignoredErrors>
    <ignoredError numberStoredAsText="1" sqref="A1:F4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  <row r="43">
      <c r="A43" t="str">
        <v>ecbdb657</v>
      </c>
      <c r="B43" t="str">
        <v>dc70b2a1</v>
      </c>
      <c r="C43" t="str">
        <v>Ice Cream, vada pav, Irani Cafe, Milk</v>
      </c>
      <c r="D43" s="3">
        <v>46278</v>
      </c>
      <c r="E43" s="1">
        <v>3000</v>
      </c>
      <c r="F43" t="str">
        <v>Asif Sayyed (Son)</v>
      </c>
      <c r="G43" t="str">
        <v>UPI</v>
      </c>
      <c r="H43" t="str">
        <v>payed</v>
      </c>
    </row>
  </sheetData>
  <autoFilter ref="A1:H43"/>
  <ignoredErrors>
    <ignoredError numberStoredAsText="1" sqref="A1:H4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Ice Cream, vada pav, Irani Cafe, Milk</v>
      </c>
      <c r="B20" t="str">
        <v>Food &amp; Catering</v>
      </c>
      <c r="C20" s="1">
        <v>3000</v>
      </c>
      <c r="D20" s="1">
        <f>SUMIF('Payments'!$C:$C,$A20,'Payments'!$E:$E)</f>
        <v>3000</v>
      </c>
      <c r="E20" s="1">
        <f>C20-D20</f>
        <v>0</v>
      </c>
    </row>
    <row r="21">
      <c r="A21" t="str">
        <v>Invitation Card (Shubham)</v>
      </c>
      <c r="B21" t="str">
        <v>Invitations &amp; Printing</v>
      </c>
      <c r="C21" s="1">
        <v>1500</v>
      </c>
      <c r="D21" s="1">
        <f>SUMIF('Payments'!$C:$C,$A21,'Payments'!$E:$E)</f>
        <v>1500</v>
      </c>
      <c r="E21" s="1">
        <f>C21-D21</f>
        <v>0</v>
      </c>
    </row>
    <row r="22">
      <c r="A22" t="str">
        <v>Invitation Card (treaditional)</v>
      </c>
      <c r="B22" t="str">
        <v>Invitations &amp; Printing</v>
      </c>
      <c r="C22" s="1">
        <v>3675</v>
      </c>
      <c r="D22" s="1">
        <f>SUMIF('Payments'!$C:$C,$A22,'Payments'!$E:$E)</f>
        <v>3675</v>
      </c>
      <c r="E22" s="1">
        <f>C22-D22</f>
        <v>0</v>
      </c>
    </row>
    <row r="23">
      <c r="A23" t="str">
        <v>Moolchand - Bride reception dress</v>
      </c>
      <c r="B23" t="str">
        <v>Clothing &amp; Jewellery</v>
      </c>
      <c r="C23" s="1">
        <v>7604</v>
      </c>
      <c r="D23" s="1">
        <f>SUMIF('Payments'!$C:$C,$A23,'Payments'!$E:$E)</f>
        <v>7604</v>
      </c>
      <c r="E23" s="1">
        <f>C23-D23</f>
        <v>0</v>
      </c>
    </row>
    <row r="24">
      <c r="A24" t="str">
        <v>Moolchand Sarees basta</v>
      </c>
      <c r="B24" t="str">
        <v>Clothing &amp; Jewellery</v>
      </c>
      <c r="C24" s="1">
        <v>24880</v>
      </c>
      <c r="D24" s="1">
        <f>SUMIF('Payments'!$C:$C,$A24,'Payments'!$E:$E)</f>
        <v>24880</v>
      </c>
      <c r="E24" s="1">
        <f>C24-D24</f>
        <v>0</v>
      </c>
    </row>
    <row r="25">
      <c r="A25" t="str">
        <v>Morya Collections - Groom wedding dress</v>
      </c>
      <c r="B25" t="str">
        <v>Clothing &amp; Jewellery</v>
      </c>
      <c r="C25" s="1">
        <v>13680</v>
      </c>
      <c r="D25" s="1">
        <f>SUMIF('Payments'!$C:$C,$A25,'Payments'!$E:$E)</f>
        <v>13680</v>
      </c>
      <c r="E25" s="1">
        <f>C25-D25</f>
        <v>0</v>
      </c>
    </row>
    <row r="26">
      <c r="A26" t="str">
        <v>Morya mojadii</v>
      </c>
      <c r="B26" t="str">
        <v>Clothing &amp; Jewellery</v>
      </c>
      <c r="C26" s="1">
        <v>400</v>
      </c>
      <c r="D26" s="1">
        <f>SUMIF('Payments'!$C:$C,$A26,'Payments'!$E:$E)</f>
        <v>400</v>
      </c>
      <c r="E26" s="1">
        <f>C26-D26</f>
        <v>0</v>
      </c>
    </row>
    <row r="27">
      <c r="A27" t="str">
        <v>Mummy sadi</v>
      </c>
      <c r="B27" t="str">
        <v>Clothing &amp; Jewellery</v>
      </c>
      <c r="C27" s="1">
        <v>1600</v>
      </c>
      <c r="D27" s="1">
        <f>SUMIF('Payments'!$C:$C,$A27,'Payments'!$E:$E)</f>
        <v>1600</v>
      </c>
      <c r="E27" s="1">
        <f>C27-D27</f>
        <v>0</v>
      </c>
    </row>
    <row r="28">
      <c r="A28" t="str">
        <v>Navkar Sales Corporation</v>
      </c>
      <c r="B28" t="str">
        <v>Food &amp; Catering</v>
      </c>
      <c r="C28" s="1">
        <v>8649</v>
      </c>
      <c r="D28" s="1">
        <f>SUMIF('Payments'!$C:$C,$A28,'Payments'!$E:$E)</f>
        <v>8649</v>
      </c>
      <c r="E28" s="1">
        <f>C28-D28</f>
        <v>0</v>
      </c>
    </row>
    <row r="29">
      <c r="A29" t="str">
        <v>New Balaji Treaders</v>
      </c>
      <c r="B29" t="str">
        <v>Food &amp; Catering</v>
      </c>
      <c r="C29" s="1">
        <v>575</v>
      </c>
      <c r="D29" s="1">
        <f>SUMIF('Payments'!$C:$C,$A29,'Payments'!$E:$E)</f>
        <v>575</v>
      </c>
      <c r="E29" s="1">
        <f>C29-D29</f>
        <v>0</v>
      </c>
    </row>
    <row r="30">
      <c r="A30" t="str">
        <v>Parag bride 3 dress</v>
      </c>
      <c r="B30" t="str">
        <v>Clothing &amp; Jewellery</v>
      </c>
      <c r="C30" s="1">
        <v>5700</v>
      </c>
      <c r="D30" s="1">
        <f>SUMIF('Payments'!$C:$C,$A30,'Payments'!$E:$E)</f>
        <v>5700</v>
      </c>
      <c r="E30" s="1">
        <f>C30-D30</f>
        <v>0</v>
      </c>
    </row>
    <row r="31">
      <c r="A31" t="str">
        <v>Parag Relative 20 dressed &amp; other cloths</v>
      </c>
      <c r="B31" t="str">
        <v>Clothing &amp; Jewellery</v>
      </c>
      <c r="C31" s="1">
        <v>24000</v>
      </c>
      <c r="D31" s="1">
        <f>SUMIF('Payments'!$C:$C,$A31,'Payments'!$E:$E)</f>
        <v>24000</v>
      </c>
      <c r="E31" s="1">
        <f>C31-D31</f>
        <v>0</v>
      </c>
    </row>
    <row r="32">
      <c r="A32" t="str">
        <v>Petrol Glanza</v>
      </c>
      <c r="B32" t="str">
        <v>Miscellaneous</v>
      </c>
      <c r="C32" s="1">
        <v>4000</v>
      </c>
      <c r="D32" s="1">
        <f>SUMIF('Payments'!$C:$C,$A32,'Payments'!$E:$E)</f>
        <v>4000</v>
      </c>
      <c r="E32" s="1">
        <f>C32-D32</f>
        <v>0</v>
      </c>
    </row>
    <row r="33">
      <c r="A33" t="str">
        <v>Petrol Glanza, Himalyan, PUC, Wheel Alingment, Engine cover Advance</v>
      </c>
      <c r="B33" t="str">
        <v>Transport</v>
      </c>
      <c r="C33" s="1">
        <v>4000</v>
      </c>
      <c r="D33" s="1">
        <f>SUMIF('Payments'!$C:$C,$A33,'Payments'!$E:$E)</f>
        <v>0</v>
      </c>
      <c r="E33" s="1">
        <f>C33-D33</f>
        <v>4000</v>
      </c>
    </row>
    <row r="34">
      <c r="A34" t="str">
        <v>Pratap films and Photography</v>
      </c>
      <c r="B34" t="str">
        <v>Photography &amp; Video</v>
      </c>
      <c r="C34" s="1">
        <v>100000</v>
      </c>
      <c r="D34" s="1">
        <f>SUMIF('Payments'!$C:$C,$A34,'Payments'!$E:$E)</f>
        <v>30000</v>
      </c>
      <c r="E34" s="1">
        <f>C34-D34</f>
        <v>70000</v>
      </c>
    </row>
    <row r="35">
      <c r="A35" t="str">
        <v>Pravin Masale</v>
      </c>
      <c r="B35" t="str">
        <v>Food &amp; Catering</v>
      </c>
      <c r="C35" s="1">
        <v>3345</v>
      </c>
      <c r="D35" s="1">
        <f>SUMIF('Payments'!$C:$C,$A35,'Payments'!$E:$E)</f>
        <v>3345</v>
      </c>
      <c r="E35" s="1">
        <f>C35-D35</f>
        <v>0</v>
      </c>
    </row>
    <row r="36">
      <c r="A36" t="str">
        <v>Prewedding shoot expences(lunch, fuel and other)</v>
      </c>
      <c r="B36" t="str">
        <v>Miscellaneous</v>
      </c>
      <c r="C36" s="1">
        <v>11840</v>
      </c>
      <c r="D36" s="1">
        <f>SUMIF('Payments'!$C:$C,$A36,'Payments'!$E:$E)</f>
        <v>11840</v>
      </c>
      <c r="E36" s="1">
        <f>C36-D36</f>
        <v>0</v>
      </c>
    </row>
    <row r="37">
      <c r="A37" t="str">
        <v>Shireen Dress</v>
      </c>
      <c r="B37" t="str">
        <v>Clothing &amp; Jewellery</v>
      </c>
      <c r="C37" s="1">
        <v>2000</v>
      </c>
      <c r="D37" s="1">
        <f>SUMIF('Payments'!$C:$C,$A37,'Payments'!$E:$E)</f>
        <v>2000</v>
      </c>
      <c r="E37" s="1">
        <f>C37-D37</f>
        <v>0</v>
      </c>
    </row>
    <row r="38">
      <c r="A38" t="str">
        <v>Soyarik mangal karyalay</v>
      </c>
      <c r="B38" t="str">
        <v>Venue &amp; Hall</v>
      </c>
      <c r="C38" s="1">
        <v>105000</v>
      </c>
      <c r="D38" s="1">
        <f>SUMIF('Payments'!$C:$C,$A38,'Payments'!$E:$E)</f>
        <v>15000</v>
      </c>
      <c r="E38" s="1">
        <f>C38-D38</f>
        <v>90000</v>
      </c>
    </row>
    <row r="39">
      <c r="A39" t="str">
        <v>Star Bazaar - Prewedding dress</v>
      </c>
      <c r="B39" t="str">
        <v>Clothing &amp; Jewellery</v>
      </c>
      <c r="C39" s="1">
        <v>6190</v>
      </c>
      <c r="D39" s="1">
        <f>SUMIF('Payments'!$C:$C,$A39,'Payments'!$E:$E)</f>
        <v>6190</v>
      </c>
      <c r="E39" s="1">
        <f>C39-D39</f>
        <v>0</v>
      </c>
    </row>
    <row r="40">
      <c r="A40" t="str">
        <v>Tushar Traders Oil</v>
      </c>
      <c r="B40" t="str">
        <v>Food &amp; Catering</v>
      </c>
      <c r="C40" s="1">
        <v>5100</v>
      </c>
      <c r="D40" s="1">
        <f>SUMIF('Payments'!$C:$C,$A40,'Payments'!$E:$E)</f>
        <v>5100</v>
      </c>
      <c r="E40" s="1">
        <f>C40-D40</f>
        <v>0</v>
      </c>
    </row>
    <row r="41">
      <c r="A41" t="str">
        <v>Total</v>
      </c>
      <c r="C41" s="1">
        <f>SUM(C2:C40)</f>
        <v>1135266</v>
      </c>
      <c r="D41" s="1">
        <f>SUM(D2:D40)</f>
        <v>318266</v>
      </c>
      <c r="E41" s="1">
        <f>SUM(E2:E40)</f>
        <v>817000</v>
      </c>
    </row>
  </sheetData>
  <ignoredErrors>
    <ignoredError numberStoredAsText="1" sqref="A1:E4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