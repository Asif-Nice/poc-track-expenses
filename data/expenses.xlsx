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'Budget'!A1:F35</definedName>
    <definedName name="_xlnm._FilterDatabase" localSheetId="1">'Payments'!A1:H35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1aa31869</v>
      </c>
      <c r="B9" t="str">
        <v>Bhavesh Treaders (karele &amp; javas)</v>
      </c>
      <c r="C9" t="str">
        <v>Food &amp; Catering</v>
      </c>
      <c r="D9" s="1">
        <v>270</v>
      </c>
      <c r="E9" s="2" t="str">
        <v/>
      </c>
      <c r="F9" t="str">
        <v>Bhavesh Treaders (karele &amp; javas)</v>
      </c>
    </row>
    <row r="10">
      <c r="A10" t="str">
        <v>0beedebe</v>
      </c>
      <c r="B10" t="str">
        <v>Bhavesh Treaders (kirana)</v>
      </c>
      <c r="C10" t="str">
        <v>Food &amp; Catering</v>
      </c>
      <c r="D10" s="1">
        <v>4600</v>
      </c>
      <c r="E10" s="2" t="str">
        <v/>
      </c>
      <c r="F10" t="str">
        <v>Bhavesh Treaders (kirana)</v>
      </c>
    </row>
    <row r="11">
      <c r="A11" t="str">
        <v>05d27deb</v>
      </c>
      <c r="B11" t="str">
        <v>Cream House Lunch</v>
      </c>
      <c r="C11" t="str">
        <v>Food &amp; Catering</v>
      </c>
      <c r="D11" s="1">
        <v>1124</v>
      </c>
      <c r="E11" s="2" t="str">
        <v/>
      </c>
      <c r="F11" t="str">
        <v>Cream House Lunch</v>
      </c>
    </row>
    <row r="12">
      <c r="A12" t="str">
        <v>631875ca</v>
      </c>
      <c r="B12" t="str">
        <v>Day night Flower Decoration - (hall)</v>
      </c>
      <c r="C12" t="str">
        <v>Decoration</v>
      </c>
      <c r="D12" s="1">
        <v>143000</v>
      </c>
      <c r="E12" s="2" t="str">
        <v>9536673041</v>
      </c>
      <c r="F12" t="str">
        <v>Hall decoration</v>
      </c>
    </row>
    <row r="13">
      <c r="A13" t="str">
        <v>d5fe8bfd</v>
      </c>
      <c r="B13" t="str">
        <v>Famous cotton- Pathani 9</v>
      </c>
      <c r="C13" t="str">
        <v>Clothing &amp; Jewellery</v>
      </c>
      <c r="D13" s="1">
        <v>12150</v>
      </c>
      <c r="E13" s="2" t="str">
        <v/>
      </c>
      <c r="F13" t="str">
        <v>Famous cotton- Pathani 9</v>
      </c>
    </row>
    <row r="14">
      <c r="A14" t="str">
        <v>9a8449e7</v>
      </c>
      <c r="B14" t="str">
        <v>Famous Tailor - Groom Reception dress</v>
      </c>
      <c r="C14" t="str">
        <v>Clothing &amp; Jewellery</v>
      </c>
      <c r="D14" s="1">
        <v>10000</v>
      </c>
      <c r="E14" s="2" t="str">
        <v>9665012980</v>
      </c>
      <c r="F14" t="str">
        <v>Groom Reception dress</v>
      </c>
    </row>
    <row r="15">
      <c r="A15" t="str">
        <v>070f7b33</v>
      </c>
      <c r="B15" t="str">
        <v>Food at shopping time</v>
      </c>
      <c r="C15" t="str">
        <v>Miscellaneous</v>
      </c>
      <c r="D15" s="1">
        <v>2609</v>
      </c>
      <c r="E15" s="2" t="str">
        <v/>
      </c>
      <c r="F15" t="str">
        <v>Blue Nile &amp; Seasons mall</v>
      </c>
    </row>
    <row r="16">
      <c r="A16" t="str">
        <v>209d43b7</v>
      </c>
      <c r="B16" t="str">
        <v>Groom haircut and other saloon expences</v>
      </c>
      <c r="C16" t="str">
        <v>Beauty &amp; Mehendi</v>
      </c>
      <c r="D16" s="1">
        <v>500</v>
      </c>
      <c r="E16" s="2" t="str">
        <v/>
      </c>
      <c r="F16" t="str">
        <v>Groom haircut and other saloon expences</v>
      </c>
    </row>
    <row r="17">
      <c r="A17" t="str">
        <v>168b7bbd</v>
      </c>
      <c r="B17" t="str">
        <v>Huseni Caterers</v>
      </c>
      <c r="C17" t="str">
        <v>Food &amp; Catering</v>
      </c>
      <c r="D17" s="1">
        <v>575000</v>
      </c>
      <c r="E17" s="2" t="str">
        <v>9226111899</v>
      </c>
      <c r="F17" t="str">
        <v>Reception food</v>
      </c>
    </row>
    <row r="18">
      <c r="A18" t="str">
        <v>aa710190</v>
      </c>
      <c r="B18" t="str">
        <v>Invitation Card (Shubham)</v>
      </c>
      <c r="C18" t="str">
        <v>Invitations &amp; Printing</v>
      </c>
      <c r="D18" s="1">
        <v>1500</v>
      </c>
      <c r="E18" s="2" t="str">
        <v>7385125161</v>
      </c>
      <c r="F18" t="str">
        <v>Invitation Card (Shubham)  100</v>
      </c>
    </row>
    <row r="19">
      <c r="A19" t="str">
        <v>1e95c55a</v>
      </c>
      <c r="B19" t="str">
        <v>Invitation Card (treaditional)</v>
      </c>
      <c r="C19" t="str">
        <v>Invitations &amp; Printing</v>
      </c>
      <c r="D19" s="1">
        <v>3675</v>
      </c>
      <c r="E19" s="2" t="str">
        <v>9890326266</v>
      </c>
      <c r="F19" t="str">
        <v>Invitation Card (treaditional)</v>
      </c>
    </row>
    <row r="20">
      <c r="A20" t="str">
        <v>c7e8b352</v>
      </c>
      <c r="B20" t="str">
        <v>Moolchand - Bride reception dress</v>
      </c>
      <c r="C20" t="str">
        <v>Clothing &amp; Jewellery</v>
      </c>
      <c r="D20" s="1">
        <v>7604</v>
      </c>
      <c r="E20" s="2" t="str">
        <v/>
      </c>
      <c r="F20" t="str">
        <v>Bride reception dress</v>
      </c>
    </row>
    <row r="21">
      <c r="A21" t="str">
        <v>2c67b679</v>
      </c>
      <c r="B21" t="str">
        <v>Moolchand Sarees basta</v>
      </c>
      <c r="C21" t="str">
        <v>Clothing &amp; Jewellery</v>
      </c>
      <c r="D21" s="1">
        <v>24880</v>
      </c>
      <c r="E21" s="2" t="str">
        <v/>
      </c>
      <c r="F21" t="str">
        <v>Moolchand Sarees for basta</v>
      </c>
    </row>
    <row r="22">
      <c r="A22" t="str">
        <v>068998a3</v>
      </c>
      <c r="B22" t="str">
        <v>Morya Collections - Groom wedding dress</v>
      </c>
      <c r="C22" t="str">
        <v>Clothing &amp; Jewellery</v>
      </c>
      <c r="D22" s="1">
        <v>13680</v>
      </c>
      <c r="E22" s="2" t="str">
        <v/>
      </c>
      <c r="F22" t="str">
        <v>Groom wedding dress</v>
      </c>
    </row>
    <row r="23">
      <c r="A23" t="str">
        <v>a78dd739</v>
      </c>
      <c r="B23" t="str">
        <v>Morya mojadii</v>
      </c>
      <c r="C23" t="str">
        <v>Clothing &amp; Jewellery</v>
      </c>
      <c r="D23" s="1">
        <v>400</v>
      </c>
      <c r="E23" s="2" t="str">
        <v/>
      </c>
      <c r="F23" t="str">
        <v>Shoes</v>
      </c>
    </row>
    <row r="24">
      <c r="A24" t="str">
        <v>eebc3aaf</v>
      </c>
      <c r="B24" t="str">
        <v>Navkar Sales Corporation</v>
      </c>
      <c r="C24" t="str">
        <v>Food &amp; Catering</v>
      </c>
      <c r="D24" s="1">
        <v>8649</v>
      </c>
      <c r="E24" s="2" t="str">
        <v/>
      </c>
      <c r="F24" t="str">
        <v>Navkar Sales Corporation</v>
      </c>
    </row>
    <row r="25">
      <c r="A25" t="str">
        <v>e6b755dc</v>
      </c>
      <c r="B25" t="str">
        <v>New Balaji Treaders</v>
      </c>
      <c r="C25" t="str">
        <v>Food &amp; Catering</v>
      </c>
      <c r="D25" s="1">
        <v>575</v>
      </c>
      <c r="E25" s="2" t="str">
        <v/>
      </c>
      <c r="F25" t="str">
        <v>New Balaji Treaders</v>
      </c>
    </row>
    <row r="26">
      <c r="A26" t="str">
        <v>113a1c1a</v>
      </c>
      <c r="B26" t="str">
        <v>Parag bride 3 dress</v>
      </c>
      <c r="C26" t="str">
        <v>Clothing &amp; Jewellery</v>
      </c>
      <c r="D26" s="1">
        <v>5700</v>
      </c>
      <c r="E26" s="2" t="str">
        <v/>
      </c>
      <c r="F26" t="str">
        <v>bride 3 dress</v>
      </c>
    </row>
    <row r="27">
      <c r="A27" t="str">
        <v>7896f0b1</v>
      </c>
      <c r="B27" t="str">
        <v>Parag Relative 20 dressed &amp; other cloths</v>
      </c>
      <c r="C27" t="str">
        <v>Clothing &amp; Jewellery</v>
      </c>
      <c r="D27" s="1">
        <v>24000</v>
      </c>
      <c r="E27" s="2" t="str">
        <v/>
      </c>
      <c r="F27" t="str">
        <v>Parag Relative 20 dressed &amp; other cloths</v>
      </c>
    </row>
    <row r="28">
      <c r="A28" t="str">
        <v>beb44857</v>
      </c>
      <c r="B28" t="str">
        <v>Pratap films and Photography</v>
      </c>
      <c r="C28" t="str">
        <v>Photography &amp; Video</v>
      </c>
      <c r="D28" s="1">
        <v>100000</v>
      </c>
      <c r="E28" s="2" t="str">
        <v>9021598286</v>
      </c>
      <c r="F28" t="str">
        <v>Photography cost</v>
      </c>
    </row>
    <row r="29">
      <c r="A29" t="str">
        <v>89c1b231</v>
      </c>
      <c r="B29" t="str">
        <v>Pravin Masale</v>
      </c>
      <c r="C29" t="str">
        <v>Food &amp; Catering</v>
      </c>
      <c r="D29" s="1">
        <v>3345</v>
      </c>
      <c r="E29" s="2" t="str">
        <v/>
      </c>
      <c r="F29" t="str">
        <v>Pravin Masale</v>
      </c>
    </row>
    <row r="30">
      <c r="A30" t="str">
        <v>6d180155</v>
      </c>
      <c r="B30" t="str">
        <v>Prewedding shoot expences(lunch, fuel and other)</v>
      </c>
      <c r="C30" t="str">
        <v>Miscellaneous</v>
      </c>
      <c r="D30" s="1">
        <v>11840</v>
      </c>
      <c r="E30" s="2" t="str">
        <v/>
      </c>
      <c r="F30" t="str">
        <v>Prewedding shoot expences(lunch, fuel and other)</v>
      </c>
    </row>
    <row r="31">
      <c r="A31" t="str">
        <v>18d2728f</v>
      </c>
      <c r="B31" t="str">
        <v>Sadi basta</v>
      </c>
      <c r="C31" t="str">
        <v>Clothing &amp; Jewellery</v>
      </c>
      <c r="D31" s="1">
        <v>25000</v>
      </c>
      <c r="E31" s="2" t="str">
        <v/>
      </c>
      <c r="F31" t="str">
        <v>Baste k sadiya</v>
      </c>
    </row>
    <row r="32">
      <c r="A32" t="str">
        <v>d1aee56d</v>
      </c>
      <c r="B32" t="str">
        <v>Shireen Dress</v>
      </c>
      <c r="C32" t="str">
        <v>Clothing &amp; Jewellery</v>
      </c>
      <c r="D32" s="1">
        <v>2000</v>
      </c>
      <c r="E32" s="2" t="str">
        <v/>
      </c>
      <c r="F32" t="str">
        <v>Shireen Dress</v>
      </c>
    </row>
    <row r="33">
      <c r="A33" t="str">
        <v>04ece648</v>
      </c>
      <c r="B33" t="str">
        <v>Soyarik mangal karyalay</v>
      </c>
      <c r="C33" t="str">
        <v>Venue &amp; Hall</v>
      </c>
      <c r="D33" s="1">
        <v>105000</v>
      </c>
      <c r="E33" s="2" t="str">
        <v>9850444117</v>
      </c>
      <c r="F33" t="str">
        <v>venue for reception</v>
      </c>
    </row>
    <row r="34">
      <c r="A34" t="str">
        <v>bd5f8d26</v>
      </c>
      <c r="B34" t="str">
        <v>Star Bazaar - Prewedding dress</v>
      </c>
      <c r="C34" t="str">
        <v>Clothing &amp; Jewellery</v>
      </c>
      <c r="D34" s="1">
        <v>6190</v>
      </c>
      <c r="E34" s="2" t="str">
        <v/>
      </c>
      <c r="F34" t="str">
        <v>Prewedding dress</v>
      </c>
    </row>
    <row r="35">
      <c r="A35" t="str">
        <v>db4969e8</v>
      </c>
      <c r="B35" t="str">
        <v>Tushar Traders Oil</v>
      </c>
      <c r="C35" t="str">
        <v>Food &amp; Catering</v>
      </c>
      <c r="D35" s="1">
        <v>5100</v>
      </c>
      <c r="E35" s="2" t="str">
        <v/>
      </c>
      <c r="F35" t="str">
        <v>Tushar Traders Oil</v>
      </c>
    </row>
  </sheetData>
  <autoFilter ref="A1:F35"/>
  <ignoredErrors>
    <ignoredError numberStoredAsText="1" sqref="A1:F3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5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6d30e094</v>
      </c>
      <c r="B19" t="str">
        <v>aa710190</v>
      </c>
      <c r="C19" t="str">
        <v>Invitation Card (Shubham)</v>
      </c>
      <c r="D19" s="3">
        <v>46256</v>
      </c>
      <c r="E19" s="1">
        <v>1500</v>
      </c>
      <c r="F19" t="str">
        <v>Asif Sayyed (Son)</v>
      </c>
      <c r="G19" t="str">
        <v>UPI</v>
      </c>
      <c r="H19" t="str">
        <v>paid</v>
      </c>
    </row>
    <row r="20">
      <c r="A20" t="str">
        <v>04a382c3</v>
      </c>
      <c r="B20" t="str">
        <v>7896f0b1</v>
      </c>
      <c r="C20" t="str">
        <v>Parag Relative 20 dressed &amp; other cloths</v>
      </c>
      <c r="D20" s="3">
        <v>46257</v>
      </c>
      <c r="E20" s="1">
        <v>24000</v>
      </c>
      <c r="F20" t="str">
        <v>Umar Sayyed (Father)</v>
      </c>
      <c r="G20" t="str">
        <v>Debit Card</v>
      </c>
      <c r="H20" t="str">
        <v>Paid</v>
      </c>
    </row>
    <row r="21">
      <c r="A21" t="str">
        <v>b83ec348</v>
      </c>
      <c r="B21" t="str">
        <v>d5fe8bfd</v>
      </c>
      <c r="C21" t="str">
        <v>Famous cotton- Pathani 9</v>
      </c>
      <c r="D21" s="3">
        <v>46257</v>
      </c>
      <c r="E21" s="1">
        <v>12150</v>
      </c>
      <c r="F21" t="str">
        <v>Umar Sayyed (Father)</v>
      </c>
      <c r="G21" t="str">
        <v>Debit Card</v>
      </c>
      <c r="H21" t="str">
        <v>Famous cotton- Pathani 9</v>
      </c>
    </row>
    <row r="22">
      <c r="A22" t="str">
        <v>965c1bf2</v>
      </c>
      <c r="B22" t="str">
        <v>d1aee56d</v>
      </c>
      <c r="C22" t="str">
        <v>Shireen Dress</v>
      </c>
      <c r="D22" s="3">
        <v>46257</v>
      </c>
      <c r="E22" s="1">
        <v>2000</v>
      </c>
      <c r="F22" t="str">
        <v>Asif Sayyed (Son)</v>
      </c>
      <c r="G22" t="str">
        <v>UPI</v>
      </c>
      <c r="H22" t="str">
        <v>Shireen Dress paid</v>
      </c>
    </row>
    <row r="23">
      <c r="A23" t="str">
        <v>79903b8b</v>
      </c>
      <c r="B23" t="str">
        <v>7e3ae131</v>
      </c>
      <c r="C23" t="str">
        <v>(Mumbai Textile &amp; Parag) Bade Abba, Anis, Navshad &amp; Salima Dress</v>
      </c>
      <c r="D23" s="3">
        <v>46257</v>
      </c>
      <c r="E23" s="1">
        <v>4080</v>
      </c>
      <c r="F23" t="str">
        <v>Waheeda (mother)</v>
      </c>
      <c r="G23" t="str">
        <v>UPI</v>
      </c>
      <c r="H23" t="str">
        <v>(Mumbai Textile &amp; Parag) Bade Abba, Anis, Navshad &amp; Salima Dress paid</v>
      </c>
    </row>
    <row r="24">
      <c r="A24" t="str">
        <v>109c6f27</v>
      </c>
      <c r="B24" t="str">
        <v>4e1fe7bf</v>
      </c>
      <c r="C24" t="str">
        <v>(Famous &amp; Libas Tailor)Silaee for Abba, Didi, Asif &amp; irfan Bhaijan</v>
      </c>
      <c r="D24" s="3">
        <v>46257</v>
      </c>
      <c r="E24" s="1">
        <v>1000</v>
      </c>
      <c r="F24" t="str">
        <v>Umar Sayyed (Father)</v>
      </c>
      <c r="G24" t="str">
        <v>Cash</v>
      </c>
      <c r="H24" t="str">
        <v>advance</v>
      </c>
    </row>
    <row r="25">
      <c r="A25" t="str">
        <v>b5b081de</v>
      </c>
      <c r="B25" t="str">
        <v>1bb495b6</v>
      </c>
      <c r="C25" t="str">
        <v>23 Aug Basta lunch at Shahidawat</v>
      </c>
      <c r="D25" s="3">
        <v>46257</v>
      </c>
      <c r="E25" s="1">
        <v>2545</v>
      </c>
      <c r="F25" t="str">
        <v>Asif Sayyed (Son)</v>
      </c>
      <c r="G25" t="str">
        <v>UPI</v>
      </c>
      <c r="H25" t="str">
        <v>23 Aug Basta lunch paid</v>
      </c>
    </row>
    <row r="26">
      <c r="A26" t="str">
        <v>de8adadf</v>
      </c>
      <c r="B26" t="str">
        <v>a036f9f7</v>
      </c>
      <c r="C26" t="str">
        <v>Arbiya Bangals</v>
      </c>
      <c r="D26" s="3">
        <v>46257</v>
      </c>
      <c r="E26" s="1">
        <v>550</v>
      </c>
      <c r="F26" t="str">
        <v>Asif Sayyed (Son)</v>
      </c>
      <c r="G26" t="str">
        <v>UPI</v>
      </c>
      <c r="H26" t="str">
        <v>Bangal</v>
      </c>
    </row>
    <row r="27">
      <c r="A27" t="str">
        <v>c3d399da</v>
      </c>
      <c r="B27" t="str">
        <v>985ce939</v>
      </c>
      <c r="C27" t="str">
        <v>Arbiya &amp; Didi Sangle</v>
      </c>
      <c r="D27" s="3">
        <v>46257</v>
      </c>
      <c r="E27" s="1">
        <v>1300</v>
      </c>
      <c r="F27" t="str">
        <v>Waheeda (mother)</v>
      </c>
      <c r="G27" t="str">
        <v>Cash</v>
      </c>
      <c r="H27" t="str">
        <v>Arbiya &amp; Didi Sangle</v>
      </c>
    </row>
    <row r="28">
      <c r="A28" t="str">
        <v>dccde075</v>
      </c>
      <c r="B28" t="str">
        <v>0e8bf89b</v>
      </c>
      <c r="C28" t="str">
        <v>Bari ka saman</v>
      </c>
      <c r="D28" s="3">
        <v>46259</v>
      </c>
      <c r="E28" s="1">
        <v>2200</v>
      </c>
      <c r="F28" t="str">
        <v>Umar Sayyed (Father)</v>
      </c>
      <c r="G28" t="str">
        <v>Cash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</sheetData>
  <autoFilter ref="A1:H35"/>
  <ignoredErrors>
    <ignoredError numberStoredAsText="1" sqref="A1:H3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Bhavesh Treaders (karele &amp; javas)</v>
      </c>
      <c r="B9" t="str">
        <v>Food &amp; Catering</v>
      </c>
      <c r="C9" s="1">
        <v>270</v>
      </c>
      <c r="D9" s="1">
        <f>SUMIF('Payments'!$C:$C,$A9,'Payments'!$E:$E)</f>
        <v>270</v>
      </c>
      <c r="E9" s="1">
        <f>C9-D9</f>
        <v>0</v>
      </c>
    </row>
    <row r="10">
      <c r="A10" t="str">
        <v>Bhavesh Treaders (kirana)</v>
      </c>
      <c r="B10" t="str">
        <v>Food &amp; Catering</v>
      </c>
      <c r="C10" s="1">
        <v>4600</v>
      </c>
      <c r="D10" s="1">
        <f>SUMIF('Payments'!$C:$C,$A10,'Payments'!$E:$E)</f>
        <v>4600</v>
      </c>
      <c r="E10" s="1">
        <f>C10-D10</f>
        <v>0</v>
      </c>
    </row>
    <row r="11">
      <c r="A11" t="str">
        <v>Cream House Lunch</v>
      </c>
      <c r="B11" t="str">
        <v>Food &amp; Catering</v>
      </c>
      <c r="C11" s="1">
        <v>1124</v>
      </c>
      <c r="D11" s="1">
        <f>SUMIF('Payments'!$C:$C,$A11,'Payments'!$E:$E)</f>
        <v>1124</v>
      </c>
      <c r="E11" s="1">
        <f>C11-D11</f>
        <v>0</v>
      </c>
    </row>
    <row r="12">
      <c r="A12" t="str">
        <v>Day night Flower Decoration - (hall)</v>
      </c>
      <c r="B12" t="str">
        <v>Decoration</v>
      </c>
      <c r="C12" s="1">
        <v>143000</v>
      </c>
      <c r="D12" s="1">
        <f>SUMIF('Payments'!$C:$C,$A12,'Payments'!$E:$E)</f>
        <v>15000</v>
      </c>
      <c r="E12" s="1">
        <f>C12-D12</f>
        <v>128000</v>
      </c>
    </row>
    <row r="13">
      <c r="A13" t="str">
        <v>Famous cotton- Pathani 9</v>
      </c>
      <c r="B13" t="str">
        <v>Clothing &amp; Jewellery</v>
      </c>
      <c r="C13" s="1">
        <v>12150</v>
      </c>
      <c r="D13" s="1">
        <f>SUMIF('Payments'!$C:$C,$A13,'Payments'!$E:$E)</f>
        <v>12150</v>
      </c>
      <c r="E13" s="1">
        <f>C13-D13</f>
        <v>0</v>
      </c>
    </row>
    <row r="14">
      <c r="A14" t="str">
        <v>Famous Tailor - Groom Reception dress</v>
      </c>
      <c r="B14" t="str">
        <v>Clothing &amp; Jewellery</v>
      </c>
      <c r="C14" s="1">
        <v>10000</v>
      </c>
      <c r="D14" s="1">
        <f>SUMIF('Payments'!$C:$C,$A14,'Payments'!$E:$E)</f>
        <v>10000</v>
      </c>
      <c r="E14" s="1">
        <f>C14-D14</f>
        <v>0</v>
      </c>
    </row>
    <row r="15">
      <c r="A15" t="str">
        <v>Food at shopping time</v>
      </c>
      <c r="B15" t="str">
        <v>Miscellaneous</v>
      </c>
      <c r="C15" s="1">
        <v>2609</v>
      </c>
      <c r="D15" s="1">
        <f>SUMIF('Payments'!$C:$C,$A15,'Payments'!$E:$E)</f>
        <v>2609</v>
      </c>
      <c r="E15" s="1">
        <f>C15-D15</f>
        <v>0</v>
      </c>
    </row>
    <row r="16">
      <c r="A16" t="str">
        <v>Groom haircut and other saloon expences</v>
      </c>
      <c r="B16" t="str">
        <v>Beauty &amp; Mehendi</v>
      </c>
      <c r="C16" s="1">
        <v>500</v>
      </c>
      <c r="D16" s="1">
        <f>SUMIF('Payments'!$C:$C,$A16,'Payments'!$E:$E)</f>
        <v>500</v>
      </c>
      <c r="E16" s="1">
        <f>C16-D16</f>
        <v>0</v>
      </c>
    </row>
    <row r="17">
      <c r="A17" t="str">
        <v>Huseni Caterers</v>
      </c>
      <c r="B17" t="str">
        <v>Food &amp; Catering</v>
      </c>
      <c r="C17" s="1">
        <v>575000</v>
      </c>
      <c r="D17" s="1">
        <f>SUMIF('Payments'!$C:$C,$A17,'Payments'!$E:$E)</f>
        <v>50000</v>
      </c>
      <c r="E17" s="1">
        <f>C17-D17</f>
        <v>525000</v>
      </c>
    </row>
    <row r="18">
      <c r="A18" t="str">
        <v>Invitation Card (Shubham)</v>
      </c>
      <c r="B18" t="str">
        <v>Invitations &amp; Printing</v>
      </c>
      <c r="C18" s="1">
        <v>1500</v>
      </c>
      <c r="D18" s="1">
        <f>SUMIF('Payments'!$C:$C,$A18,'Payments'!$E:$E)</f>
        <v>1500</v>
      </c>
      <c r="E18" s="1">
        <f>C18-D18</f>
        <v>0</v>
      </c>
    </row>
    <row r="19">
      <c r="A19" t="str">
        <v>Invitation Card (treaditional)</v>
      </c>
      <c r="B19" t="str">
        <v>Invitations &amp; Printing</v>
      </c>
      <c r="C19" s="1">
        <v>3675</v>
      </c>
      <c r="D19" s="1">
        <f>SUMIF('Payments'!$C:$C,$A19,'Payments'!$E:$E)</f>
        <v>3675</v>
      </c>
      <c r="E19" s="1">
        <f>C19-D19</f>
        <v>0</v>
      </c>
    </row>
    <row r="20">
      <c r="A20" t="str">
        <v>Moolchand - Bride reception dress</v>
      </c>
      <c r="B20" t="str">
        <v>Clothing &amp; Jewellery</v>
      </c>
      <c r="C20" s="1">
        <v>7604</v>
      </c>
      <c r="D20" s="1">
        <f>SUMIF('Payments'!$C:$C,$A20,'Payments'!$E:$E)</f>
        <v>7604</v>
      </c>
      <c r="E20" s="1">
        <f>C20-D20</f>
        <v>0</v>
      </c>
    </row>
    <row r="21">
      <c r="A21" t="str">
        <v>Moolchand Sarees basta</v>
      </c>
      <c r="B21" t="str">
        <v>Clothing &amp; Jewellery</v>
      </c>
      <c r="C21" s="1">
        <v>24880</v>
      </c>
      <c r="D21" s="1">
        <f>SUMIF('Payments'!$C:$C,$A21,'Payments'!$E:$E)</f>
        <v>24880</v>
      </c>
      <c r="E21" s="1">
        <f>C21-D21</f>
        <v>0</v>
      </c>
    </row>
    <row r="22">
      <c r="A22" t="str">
        <v>Morya Collections - Groom wedding dress</v>
      </c>
      <c r="B22" t="str">
        <v>Clothing &amp; Jewellery</v>
      </c>
      <c r="C22" s="1">
        <v>13680</v>
      </c>
      <c r="D22" s="1">
        <f>SUMIF('Payments'!$C:$C,$A22,'Payments'!$E:$E)</f>
        <v>13680</v>
      </c>
      <c r="E22" s="1">
        <f>C22-D22</f>
        <v>0</v>
      </c>
    </row>
    <row r="23">
      <c r="A23" t="str">
        <v>Morya mojadii</v>
      </c>
      <c r="B23" t="str">
        <v>Clothing &amp; Jewellery</v>
      </c>
      <c r="C23" s="1">
        <v>400</v>
      </c>
      <c r="D23" s="1">
        <f>SUMIF('Payments'!$C:$C,$A23,'Payments'!$E:$E)</f>
        <v>400</v>
      </c>
      <c r="E23" s="1">
        <f>C23-D23</f>
        <v>0</v>
      </c>
    </row>
    <row r="24">
      <c r="A24" t="str">
        <v>Navkar Sales Corporation</v>
      </c>
      <c r="B24" t="str">
        <v>Food &amp; Catering</v>
      </c>
      <c r="C24" s="1">
        <v>8649</v>
      </c>
      <c r="D24" s="1">
        <f>SUMIF('Payments'!$C:$C,$A24,'Payments'!$E:$E)</f>
        <v>8649</v>
      </c>
      <c r="E24" s="1">
        <f>C24-D24</f>
        <v>0</v>
      </c>
    </row>
    <row r="25">
      <c r="A25" t="str">
        <v>New Balaji Treaders</v>
      </c>
      <c r="B25" t="str">
        <v>Food &amp; Catering</v>
      </c>
      <c r="C25" s="1">
        <v>575</v>
      </c>
      <c r="D25" s="1">
        <f>SUMIF('Payments'!$C:$C,$A25,'Payments'!$E:$E)</f>
        <v>575</v>
      </c>
      <c r="E25" s="1">
        <f>C25-D25</f>
        <v>0</v>
      </c>
    </row>
    <row r="26">
      <c r="A26" t="str">
        <v>Parag bride 3 dress</v>
      </c>
      <c r="B26" t="str">
        <v>Clothing &amp; Jewellery</v>
      </c>
      <c r="C26" s="1">
        <v>5700</v>
      </c>
      <c r="D26" s="1">
        <f>SUMIF('Payments'!$C:$C,$A26,'Payments'!$E:$E)</f>
        <v>5700</v>
      </c>
      <c r="E26" s="1">
        <f>C26-D26</f>
        <v>0</v>
      </c>
    </row>
    <row r="27">
      <c r="A27" t="str">
        <v>Parag Relative 20 dressed &amp; other cloths</v>
      </c>
      <c r="B27" t="str">
        <v>Clothing &amp; Jewellery</v>
      </c>
      <c r="C27" s="1">
        <v>24000</v>
      </c>
      <c r="D27" s="1">
        <f>SUMIF('Payments'!$C:$C,$A27,'Payments'!$E:$E)</f>
        <v>24000</v>
      </c>
      <c r="E27" s="1">
        <f>C27-D27</f>
        <v>0</v>
      </c>
    </row>
    <row r="28">
      <c r="A28" t="str">
        <v>Pratap films and Photography</v>
      </c>
      <c r="B28" t="str">
        <v>Photography &amp; Video</v>
      </c>
      <c r="C28" s="1">
        <v>100000</v>
      </c>
      <c r="D28" s="1">
        <f>SUMIF('Payments'!$C:$C,$A28,'Payments'!$E:$E)</f>
        <v>10000</v>
      </c>
      <c r="E28" s="1">
        <f>C28-D28</f>
        <v>90000</v>
      </c>
    </row>
    <row r="29">
      <c r="A29" t="str">
        <v>Pravin Masale</v>
      </c>
      <c r="B29" t="str">
        <v>Food &amp; Catering</v>
      </c>
      <c r="C29" s="1">
        <v>3345</v>
      </c>
      <c r="D29" s="1">
        <f>SUMIF('Payments'!$C:$C,$A29,'Payments'!$E:$E)</f>
        <v>3345</v>
      </c>
      <c r="E29" s="1">
        <f>C29-D29</f>
        <v>0</v>
      </c>
    </row>
    <row r="30">
      <c r="A30" t="str">
        <v>Prewedding shoot expences(lunch, fuel and other)</v>
      </c>
      <c r="B30" t="str">
        <v>Miscellaneous</v>
      </c>
      <c r="C30" s="1">
        <v>11840</v>
      </c>
      <c r="D30" s="1">
        <f>SUMIF('Payments'!$C:$C,$A30,'Payments'!$E:$E)</f>
        <v>11840</v>
      </c>
      <c r="E30" s="1">
        <f>C30-D30</f>
        <v>0</v>
      </c>
    </row>
    <row r="31">
      <c r="A31" t="str">
        <v>Sadi basta</v>
      </c>
      <c r="B31" t="str">
        <v>Clothing &amp; Jewellery</v>
      </c>
      <c r="C31" s="1">
        <v>25000</v>
      </c>
      <c r="D31" s="1">
        <f>SUMIF('Payments'!$C:$C,$A31,'Payments'!$E:$E)</f>
        <v>25000</v>
      </c>
      <c r="E31" s="1">
        <f>C31-D31</f>
        <v>0</v>
      </c>
    </row>
    <row r="32">
      <c r="A32" t="str">
        <v>Shireen Dress</v>
      </c>
      <c r="B32" t="str">
        <v>Clothing &amp; Jewellery</v>
      </c>
      <c r="C32" s="1">
        <v>2000</v>
      </c>
      <c r="D32" s="1">
        <f>SUMIF('Payments'!$C:$C,$A32,'Payments'!$E:$E)</f>
        <v>2000</v>
      </c>
      <c r="E32" s="1">
        <f>C32-D32</f>
        <v>0</v>
      </c>
    </row>
    <row r="33">
      <c r="A33" t="str">
        <v>Soyarik mangal karyalay</v>
      </c>
      <c r="B33" t="str">
        <v>Venue &amp; Hall</v>
      </c>
      <c r="C33" s="1">
        <v>105000</v>
      </c>
      <c r="D33" s="1">
        <f>SUMIF('Payments'!$C:$C,$A33,'Payments'!$E:$E)</f>
        <v>15000</v>
      </c>
      <c r="E33" s="1">
        <f>C33-D33</f>
        <v>90000</v>
      </c>
    </row>
    <row r="34">
      <c r="A34" t="str">
        <v>Star Bazaar - Prewedding dress</v>
      </c>
      <c r="B34" t="str">
        <v>Clothing &amp; Jewellery</v>
      </c>
      <c r="C34" s="1">
        <v>6190</v>
      </c>
      <c r="D34" s="1">
        <f>SUMIF('Payments'!$C:$C,$A34,'Payments'!$E:$E)</f>
        <v>6190</v>
      </c>
      <c r="E34" s="1">
        <f>C34-D34</f>
        <v>0</v>
      </c>
    </row>
    <row r="35">
      <c r="A35" t="str">
        <v>Tushar Traders Oil</v>
      </c>
      <c r="B35" t="str">
        <v>Food &amp; Catering</v>
      </c>
      <c r="C35" s="1">
        <v>5100</v>
      </c>
      <c r="D35" s="1">
        <f>SUMIF('Payments'!$C:$C,$A35,'Payments'!$E:$E)</f>
        <v>5100</v>
      </c>
      <c r="E35" s="1">
        <f>C35-D35</f>
        <v>0</v>
      </c>
    </row>
    <row r="36">
      <c r="A36" t="str">
        <v>Total</v>
      </c>
      <c r="C36" s="1">
        <f>SUM(C2:C35)</f>
        <v>1123866</v>
      </c>
      <c r="D36" s="1">
        <f>SUM(D2:D35)</f>
        <v>280566</v>
      </c>
      <c r="E36" s="1">
        <f>SUM(E2:E35)</f>
        <v>843300</v>
      </c>
    </row>
  </sheetData>
  <ignoredErrors>
    <ignoredError numberStoredAsText="1" sqref="A1:E3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