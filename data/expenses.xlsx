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143000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Mandva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</sheetData>
  <autoFilter ref="A1:H57"/>
  <ignoredErrors>
    <ignoredError numberStoredAsText="1" sqref="A1:H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143000</v>
      </c>
      <c r="D16" s="1">
        <f>SUMIF('Payments'!$C:$C,$A16,'Payments'!$E:$E)</f>
        <v>75000</v>
      </c>
      <c r="E16" s="1">
        <f>C16-D16</f>
        <v>68000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15000</v>
      </c>
      <c r="E26" s="1">
        <f>C26-D26</f>
        <v>22000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40000</v>
      </c>
      <c r="E39" s="1">
        <f>C39-D39</f>
        <v>60000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1197326</v>
      </c>
      <c r="D47" s="1">
        <f>SUM(D2:D46)</f>
        <v>907326</v>
      </c>
      <c r="E47" s="1">
        <f>SUM(E2:E46)</f>
        <v>290000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