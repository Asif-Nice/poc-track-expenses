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161000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</sheetData>
  <autoFilter ref="A1:H64"/>
  <ignoredErrors>
    <ignoredError numberStoredAsText="1" sqref="A1:H6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161000</v>
      </c>
      <c r="D17" s="1">
        <f>SUMIF('Payments'!$C:$C,$A17,'Payments'!$E:$E)</f>
        <v>128000</v>
      </c>
      <c r="E17" s="1">
        <f>C17-D17</f>
        <v>33000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39000</v>
      </c>
      <c r="E21" s="1">
        <f>C21-D21</f>
        <v>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1233738</v>
      </c>
      <c r="D50" s="1">
        <f>SUM(D2:D49)</f>
        <v>1014238</v>
      </c>
      <c r="E50" s="1">
        <f>SUM(E2:E49)</f>
        <v>219500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