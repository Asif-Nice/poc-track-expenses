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'Budget'!A1:F10</definedName>
    <definedName name="_xlnm._FilterDatabase" localSheetId="1">'Payments'!A1:H9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9a8449e7</v>
      </c>
      <c r="B2" t="str">
        <v>Famous Tailor - Groom Reception dress</v>
      </c>
      <c r="C2" t="str">
        <v>Clothing &amp; Jewellery</v>
      </c>
      <c r="D2" s="1">
        <v>10000</v>
      </c>
      <c r="E2" s="2" t="str">
        <v>9665012980</v>
      </c>
      <c r="F2" t="str">
        <v>Groom Reception dress</v>
      </c>
    </row>
    <row r="3">
      <c r="A3" t="str">
        <v>070f7b33</v>
      </c>
      <c r="B3" t="str">
        <v>Food at shopping time</v>
      </c>
      <c r="C3" t="str">
        <v>Miscellaneous</v>
      </c>
      <c r="D3" s="1">
        <v>2609</v>
      </c>
      <c r="E3" s="2" t="str">
        <v/>
      </c>
      <c r="F3" t="str">
        <v>Blue Nile &amp; Seasons mall</v>
      </c>
    </row>
    <row r="4">
      <c r="A4" t="str">
        <v>168b7bbd</v>
      </c>
      <c r="B4" t="str">
        <v>Huseni Caterers</v>
      </c>
      <c r="C4" t="str">
        <v>Food &amp; Catering</v>
      </c>
      <c r="D4" s="1">
        <v>575000</v>
      </c>
      <c r="E4" s="2" t="str">
        <v>9226111899</v>
      </c>
      <c r="F4" t="str">
        <v>Reception food</v>
      </c>
    </row>
    <row r="5">
      <c r="A5" t="str">
        <v>c7e8b352</v>
      </c>
      <c r="B5" t="str">
        <v>Moolchand - Bride reception dress</v>
      </c>
      <c r="C5" t="str">
        <v>Clothing &amp; Jewellery</v>
      </c>
      <c r="D5" s="1">
        <v>7604</v>
      </c>
      <c r="E5" s="2" t="str">
        <v/>
      </c>
      <c r="F5" t="str">
        <v>Bride reception dress</v>
      </c>
    </row>
    <row r="6">
      <c r="A6" t="str">
        <v>068998a3</v>
      </c>
      <c r="B6" t="str">
        <v>Morya Collections - Groom wedding dress</v>
      </c>
      <c r="C6" t="str">
        <v>Clothing &amp; Jewellery</v>
      </c>
      <c r="D6" s="1">
        <v>13680</v>
      </c>
      <c r="E6" s="2" t="str">
        <v/>
      </c>
      <c r="F6" t="str">
        <v>Groom wedding dress</v>
      </c>
    </row>
    <row r="7">
      <c r="A7" t="str">
        <v>113a1c1a</v>
      </c>
      <c r="B7" t="str">
        <v>Parag bride 3 dress</v>
      </c>
      <c r="C7" t="str">
        <v>Clothing &amp; Jewellery</v>
      </c>
      <c r="D7" s="1">
        <v>5700</v>
      </c>
      <c r="E7" s="2" t="str">
        <v/>
      </c>
      <c r="F7" t="str">
        <v>bride 3 dress</v>
      </c>
    </row>
    <row r="8">
      <c r="A8" t="str">
        <v>beb44857</v>
      </c>
      <c r="B8" t="str">
        <v>Pratap films and Photography</v>
      </c>
      <c r="C8" t="str">
        <v>Photography &amp; Video</v>
      </c>
      <c r="D8" s="1">
        <v>100000</v>
      </c>
      <c r="E8" s="2" t="str">
        <v>9021598286</v>
      </c>
      <c r="F8" t="str">
        <v>Photography cost</v>
      </c>
    </row>
    <row r="9">
      <c r="A9" t="str">
        <v>04ece648</v>
      </c>
      <c r="B9" t="str">
        <v>Soyarik mangal karyalay</v>
      </c>
      <c r="C9" t="str">
        <v>Venue &amp; Hall</v>
      </c>
      <c r="D9" s="1">
        <v>105000</v>
      </c>
      <c r="E9" s="2" t="str">
        <v>9850444117</v>
      </c>
      <c r="F9" t="str">
        <v>venue for reception</v>
      </c>
    </row>
    <row r="10">
      <c r="A10" t="str">
        <v>bd5f8d26</v>
      </c>
      <c r="B10" t="str">
        <v>Star Bazaar - Prewedding dress</v>
      </c>
      <c r="C10" t="str">
        <v>Clothing &amp; Jewellery</v>
      </c>
      <c r="D10" s="1">
        <v>6190</v>
      </c>
      <c r="E10" s="2" t="str">
        <v/>
      </c>
      <c r="F10" t="str">
        <v>Prewedding dress</v>
      </c>
    </row>
  </sheetData>
  <autoFilter ref="A1:F10"/>
  <ignoredErrors>
    <ignoredError numberStoredAsText="1" sqref="A1:F1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9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</sheetData>
  <autoFilter ref="A1:H9"/>
  <ignoredErrors>
    <ignoredError numberStoredAsText="1" sqref="A1:H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1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Famous Tailor - Groom Reception dress</v>
      </c>
      <c r="B2" t="str">
        <v>Clothing &amp; Jewellery</v>
      </c>
      <c r="C2" s="1">
        <v>10000</v>
      </c>
      <c r="D2" s="1">
        <f>SUMIF('Payments'!$C:$C,$A2,'Payments'!$E:$E)</f>
        <v>0</v>
      </c>
      <c r="E2" s="1">
        <f>C2-D2</f>
        <v>10000</v>
      </c>
    </row>
    <row r="3">
      <c r="A3" t="str">
        <v>Food at shopping time</v>
      </c>
      <c r="B3" t="str">
        <v>Miscellaneous</v>
      </c>
      <c r="C3" s="1">
        <v>2609</v>
      </c>
      <c r="D3" s="1">
        <f>SUMIF('Payments'!$C:$C,$A3,'Payments'!$E:$E)</f>
        <v>2609</v>
      </c>
      <c r="E3" s="1">
        <f>C3-D3</f>
        <v>0</v>
      </c>
    </row>
    <row r="4">
      <c r="A4" t="str">
        <v>Huseni Caterers</v>
      </c>
      <c r="B4" t="str">
        <v>Food &amp; Catering</v>
      </c>
      <c r="C4" s="1">
        <v>575000</v>
      </c>
      <c r="D4" s="1">
        <f>SUMIF('Payments'!$C:$C,$A4,'Payments'!$E:$E)</f>
        <v>50000</v>
      </c>
      <c r="E4" s="1">
        <f>C4-D4</f>
        <v>525000</v>
      </c>
    </row>
    <row r="5">
      <c r="A5" t="str">
        <v>Moolchand - Bride reception dress</v>
      </c>
      <c r="B5" t="str">
        <v>Clothing &amp; Jewellery</v>
      </c>
      <c r="C5" s="1">
        <v>7604</v>
      </c>
      <c r="D5" s="1">
        <f>SUMIF('Payments'!$C:$C,$A5,'Payments'!$E:$E)</f>
        <v>7604</v>
      </c>
      <c r="E5" s="1">
        <f>C5-D5</f>
        <v>0</v>
      </c>
    </row>
    <row r="6">
      <c r="A6" t="str">
        <v>Morya Collections - Groom wedding dress</v>
      </c>
      <c r="B6" t="str">
        <v>Clothing &amp; Jewellery</v>
      </c>
      <c r="C6" s="1">
        <v>13680</v>
      </c>
      <c r="D6" s="1">
        <f>SUMIF('Payments'!$C:$C,$A6,'Payments'!$E:$E)</f>
        <v>13680</v>
      </c>
      <c r="E6" s="1">
        <f>C6-D6</f>
        <v>0</v>
      </c>
    </row>
    <row r="7">
      <c r="A7" t="str">
        <v>Parag bride 3 dress</v>
      </c>
      <c r="B7" t="str">
        <v>Clothing &amp; Jewellery</v>
      </c>
      <c r="C7" s="1">
        <v>5700</v>
      </c>
      <c r="D7" s="1">
        <f>SUMIF('Payments'!$C:$C,$A7,'Payments'!$E:$E)</f>
        <v>5700</v>
      </c>
      <c r="E7" s="1">
        <f>C7-D7</f>
        <v>0</v>
      </c>
    </row>
    <row r="8">
      <c r="A8" t="str">
        <v>Pratap films and Photography</v>
      </c>
      <c r="B8" t="str">
        <v>Photography &amp; Video</v>
      </c>
      <c r="C8" s="1">
        <v>100000</v>
      </c>
      <c r="D8" s="1">
        <f>SUMIF('Payments'!$C:$C,$A8,'Payments'!$E:$E)</f>
        <v>10000</v>
      </c>
      <c r="E8" s="1">
        <f>C8-D8</f>
        <v>90000</v>
      </c>
    </row>
    <row r="9">
      <c r="A9" t="str">
        <v>Soyarik mangal karyalay</v>
      </c>
      <c r="B9" t="str">
        <v>Venue &amp; Hall</v>
      </c>
      <c r="C9" s="1">
        <v>105000</v>
      </c>
      <c r="D9" s="1">
        <f>SUMIF('Payments'!$C:$C,$A9,'Payments'!$E:$E)</f>
        <v>15000</v>
      </c>
      <c r="E9" s="1">
        <f>C9-D9</f>
        <v>90000</v>
      </c>
    </row>
    <row r="10">
      <c r="A10" t="str">
        <v>Star Bazaar - Prewedding dress</v>
      </c>
      <c r="B10" t="str">
        <v>Clothing &amp; Jewellery</v>
      </c>
      <c r="C10" s="1">
        <v>6190</v>
      </c>
      <c r="D10" s="1">
        <f>SUMIF('Payments'!$C:$C,$A10,'Payments'!$E:$E)</f>
        <v>6190</v>
      </c>
      <c r="E10" s="1">
        <f>C10-D10</f>
        <v>0</v>
      </c>
    </row>
    <row r="11">
      <c r="A11" t="str">
        <v>Total</v>
      </c>
      <c r="C11" s="1">
        <f>SUM(C2:C10)</f>
        <v>825783</v>
      </c>
      <c r="D11" s="1">
        <f>SUM(D2:D10)</f>
        <v>110783</v>
      </c>
      <c r="E11" s="1">
        <f>SUM(E2:E10)</f>
        <v>715000</v>
      </c>
    </row>
  </sheetData>
  <ignoredErrors>
    <ignoredError numberStoredAsText="1" sqref="A1:E1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