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'Budget'!A1:F31</definedName>
    <definedName name="_xlnm._FilterDatabase" localSheetId="1">'Payments'!A1:H30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113a1c1a</v>
      </c>
      <c r="B23" t="str">
        <v>Parag bride 3 dress</v>
      </c>
      <c r="C23" t="str">
        <v>Clothing &amp; Jewellery</v>
      </c>
      <c r="D23" s="1">
        <v>5700</v>
      </c>
      <c r="E23" s="2" t="str">
        <v/>
      </c>
      <c r="F23" t="str">
        <v>bride 3 dress</v>
      </c>
    </row>
    <row r="24">
      <c r="A24" t="str">
        <v>7896f0b1</v>
      </c>
      <c r="B24" t="str">
        <v>Parag Relative 20 dressed &amp; other cloths</v>
      </c>
      <c r="C24" t="str">
        <v>Clothing &amp; Jewellery</v>
      </c>
      <c r="D24" s="1">
        <v>24000</v>
      </c>
      <c r="E24" s="2" t="str">
        <v/>
      </c>
      <c r="F24" t="str">
        <v>Parag Relative 20 dressed &amp; other cloths</v>
      </c>
    </row>
    <row r="25">
      <c r="A25" t="str">
        <v>beb44857</v>
      </c>
      <c r="B25" t="str">
        <v>Pratap films and Photography</v>
      </c>
      <c r="C25" t="str">
        <v>Photography &amp; Video</v>
      </c>
      <c r="D25" s="1">
        <v>100000</v>
      </c>
      <c r="E25" s="2" t="str">
        <v>9021598286</v>
      </c>
      <c r="F25" t="str">
        <v>Photography cost</v>
      </c>
    </row>
    <row r="26">
      <c r="A26" t="str">
        <v>6d180155</v>
      </c>
      <c r="B26" t="str">
        <v>Prewedding shoot expences(lunch, fuel and other)</v>
      </c>
      <c r="C26" t="str">
        <v>Miscellaneous</v>
      </c>
      <c r="D26" s="1">
        <v>11840</v>
      </c>
      <c r="E26" s="2" t="str">
        <v/>
      </c>
      <c r="F26" t="str">
        <v>Prewedding shoot expences(lunch, fuel and other)</v>
      </c>
    </row>
    <row r="27">
      <c r="A27" t="str">
        <v>18d2728f</v>
      </c>
      <c r="B27" t="str">
        <v>Sadi basta</v>
      </c>
      <c r="C27" t="str">
        <v>Clothing &amp; Jewellery</v>
      </c>
      <c r="D27" s="1">
        <v>25000</v>
      </c>
      <c r="E27" s="2" t="str">
        <v/>
      </c>
      <c r="F27" t="str">
        <v>Baste k sadiya</v>
      </c>
    </row>
    <row r="28">
      <c r="A28" t="str">
        <v>d1aee56d</v>
      </c>
      <c r="B28" t="str">
        <v>Shireen Dress</v>
      </c>
      <c r="C28" t="str">
        <v>Clothing &amp; Jewellery</v>
      </c>
      <c r="D28" s="1">
        <v>2000</v>
      </c>
      <c r="E28" s="2" t="str">
        <v/>
      </c>
      <c r="F28" t="str">
        <v>Shireen Dress</v>
      </c>
    </row>
    <row r="29">
      <c r="A29" t="str">
        <v>04ece648</v>
      </c>
      <c r="B29" t="str">
        <v>Soyarik mangal karyalay</v>
      </c>
      <c r="C29" t="str">
        <v>Venue &amp; Hall</v>
      </c>
      <c r="D29" s="1">
        <v>105000</v>
      </c>
      <c r="E29" s="2" t="str">
        <v>9850444117</v>
      </c>
      <c r="F29" t="str">
        <v>venue for reception</v>
      </c>
    </row>
    <row r="30">
      <c r="A30" t="str">
        <v>bd5f8d26</v>
      </c>
      <c r="B30" t="str">
        <v>Star Bazaar - Prewedding dress</v>
      </c>
      <c r="C30" t="str">
        <v>Clothing &amp; Jewellery</v>
      </c>
      <c r="D30" s="1">
        <v>6190</v>
      </c>
      <c r="E30" s="2" t="str">
        <v/>
      </c>
      <c r="F30" t="str">
        <v>Prewedding dress</v>
      </c>
    </row>
    <row r="31">
      <c r="A31" t="str">
        <v>db4969e8</v>
      </c>
      <c r="B31" t="str">
        <v>Tushar Traders Oil</v>
      </c>
      <c r="C31" t="str">
        <v>Food &amp; Catering</v>
      </c>
      <c r="D31" s="1">
        <v>5100</v>
      </c>
      <c r="E31" s="2" t="str">
        <v/>
      </c>
      <c r="F31" t="str">
        <v>Tushar Traders Oil</v>
      </c>
    </row>
  </sheetData>
  <autoFilter ref="A1:F31"/>
  <ignoredErrors>
    <ignoredError numberStoredAsText="1" sqref="A1:F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</sheetData>
  <autoFilter ref="A1:H30"/>
  <ignoredErrors>
    <ignoredError numberStoredAsText="1" sqref="A1:H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0</v>
      </c>
      <c r="E9" s="1">
        <f>C9-D9</f>
        <v>4600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Parag bride 3 dress</v>
      </c>
      <c r="B23" t="str">
        <v>Clothing &amp; Jewellery</v>
      </c>
      <c r="C23" s="1">
        <v>5700</v>
      </c>
      <c r="D23" s="1">
        <f>SUMIF('Payments'!$C:$C,$A23,'Payments'!$E:$E)</f>
        <v>5700</v>
      </c>
      <c r="E23" s="1">
        <f>C23-D23</f>
        <v>0</v>
      </c>
    </row>
    <row r="24">
      <c r="A24" t="str">
        <v>Parag Relative 20 dressed &amp; other cloths</v>
      </c>
      <c r="B24" t="str">
        <v>Clothing &amp; Jewellery</v>
      </c>
      <c r="C24" s="1">
        <v>24000</v>
      </c>
      <c r="D24" s="1">
        <f>SUMIF('Payments'!$C:$C,$A24,'Payments'!$E:$E)</f>
        <v>24000</v>
      </c>
      <c r="E24" s="1">
        <f>C24-D24</f>
        <v>0</v>
      </c>
    </row>
    <row r="25">
      <c r="A25" t="str">
        <v>Pratap films and Photography</v>
      </c>
      <c r="B25" t="str">
        <v>Photography &amp; Video</v>
      </c>
      <c r="C25" s="1">
        <v>100000</v>
      </c>
      <c r="D25" s="1">
        <f>SUMIF('Payments'!$C:$C,$A25,'Payments'!$E:$E)</f>
        <v>10000</v>
      </c>
      <c r="E25" s="1">
        <f>C25-D25</f>
        <v>90000</v>
      </c>
    </row>
    <row r="26">
      <c r="A26" t="str">
        <v>Prewedding shoot expences(lunch, fuel and other)</v>
      </c>
      <c r="B26" t="str">
        <v>Miscellaneous</v>
      </c>
      <c r="C26" s="1">
        <v>11840</v>
      </c>
      <c r="D26" s="1">
        <f>SUMIF('Payments'!$C:$C,$A26,'Payments'!$E:$E)</f>
        <v>11840</v>
      </c>
      <c r="E26" s="1">
        <f>C26-D26</f>
        <v>0</v>
      </c>
    </row>
    <row r="27">
      <c r="A27" t="str">
        <v>Sadi basta</v>
      </c>
      <c r="B27" t="str">
        <v>Clothing &amp; Jewellery</v>
      </c>
      <c r="C27" s="1">
        <v>25000</v>
      </c>
      <c r="D27" s="1">
        <f>SUMIF('Payments'!$C:$C,$A27,'Payments'!$E:$E)</f>
        <v>25000</v>
      </c>
      <c r="E27" s="1">
        <f>C27-D27</f>
        <v>0</v>
      </c>
    </row>
    <row r="28">
      <c r="A28" t="str">
        <v>Shireen Dress</v>
      </c>
      <c r="B28" t="str">
        <v>Clothing &amp; Jewellery</v>
      </c>
      <c r="C28" s="1">
        <v>2000</v>
      </c>
      <c r="D28" s="1">
        <f>SUMIF('Payments'!$C:$C,$A28,'Payments'!$E:$E)</f>
        <v>2000</v>
      </c>
      <c r="E28" s="1">
        <f>C28-D28</f>
        <v>0</v>
      </c>
    </row>
    <row r="29">
      <c r="A29" t="str">
        <v>Soyarik mangal karyalay</v>
      </c>
      <c r="B29" t="str">
        <v>Venue &amp; Hall</v>
      </c>
      <c r="C29" s="1">
        <v>105000</v>
      </c>
      <c r="D29" s="1">
        <f>SUMIF('Payments'!$C:$C,$A29,'Payments'!$E:$E)</f>
        <v>15000</v>
      </c>
      <c r="E29" s="1">
        <f>C29-D29</f>
        <v>90000</v>
      </c>
    </row>
    <row r="30">
      <c r="A30" t="str">
        <v>Star Bazaar - Prewedding dress</v>
      </c>
      <c r="B30" t="str">
        <v>Clothing &amp; Jewellery</v>
      </c>
      <c r="C30" s="1">
        <v>6190</v>
      </c>
      <c r="D30" s="1">
        <f>SUMIF('Payments'!$C:$C,$A30,'Payments'!$E:$E)</f>
        <v>6190</v>
      </c>
      <c r="E30" s="1">
        <f>C30-D30</f>
        <v>0</v>
      </c>
    </row>
    <row r="31">
      <c r="A31" t="str">
        <v>Tushar Traders Oil</v>
      </c>
      <c r="B31" t="str">
        <v>Food &amp; Catering</v>
      </c>
      <c r="C31" s="1">
        <v>5100</v>
      </c>
      <c r="D31" s="1">
        <f>SUMIF('Payments'!$C:$C,$A31,'Payments'!$E:$E)</f>
        <v>5100</v>
      </c>
      <c r="E31" s="1">
        <f>C31-D31</f>
        <v>0</v>
      </c>
    </row>
    <row r="32">
      <c r="A32" t="str">
        <v>Total</v>
      </c>
      <c r="C32" s="1">
        <f>SUM(C2:C31)</f>
        <v>1118552</v>
      </c>
      <c r="D32" s="1">
        <f>SUM(D2:D31)</f>
        <v>270652</v>
      </c>
      <c r="E32" s="1">
        <f>SUM(E2:E31)</f>
        <v>847900</v>
      </c>
    </row>
  </sheetData>
  <ignoredErrors>
    <ignoredError numberStoredAsText="1" sqref="A1:E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