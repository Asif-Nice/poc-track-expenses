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'Budget'!A1:F36</definedName>
    <definedName name="_xlnm._FilterDatabase" localSheetId="1">'Payments'!A1:H37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0421ab42</v>
      </c>
      <c r="B28" t="str">
        <v>Petrol Glanza</v>
      </c>
      <c r="C28" t="str">
        <v>Miscellaneous</v>
      </c>
      <c r="D28" s="1">
        <v>4000</v>
      </c>
      <c r="E28" s="2" t="str">
        <v/>
      </c>
      <c r="F28" t="str">
        <v/>
      </c>
    </row>
    <row r="29">
      <c r="A29" t="str">
        <v>beb44857</v>
      </c>
      <c r="B29" t="str">
        <v>Pratap films and Photography</v>
      </c>
      <c r="C29" t="str">
        <v>Photography &amp; Video</v>
      </c>
      <c r="D29" s="1">
        <v>100000</v>
      </c>
      <c r="E29" s="2" t="str">
        <v>9021598286</v>
      </c>
      <c r="F29" t="str">
        <v>Photography cost</v>
      </c>
    </row>
    <row r="30">
      <c r="A30" t="str">
        <v>89c1b231</v>
      </c>
      <c r="B30" t="str">
        <v>Pravin Masale</v>
      </c>
      <c r="C30" t="str">
        <v>Food &amp; Catering</v>
      </c>
      <c r="D30" s="1">
        <v>3345</v>
      </c>
      <c r="E30" s="2" t="str">
        <v/>
      </c>
      <c r="F30" t="str">
        <v>Pravin Masale</v>
      </c>
    </row>
    <row r="31">
      <c r="A31" t="str">
        <v>6d180155</v>
      </c>
      <c r="B31" t="str">
        <v>Prewedding shoot expences(lunch, fuel and other)</v>
      </c>
      <c r="C31" t="str">
        <v>Miscellaneous</v>
      </c>
      <c r="D31" s="1">
        <v>11840</v>
      </c>
      <c r="E31" s="2" t="str">
        <v/>
      </c>
      <c r="F31" t="str">
        <v>Prewedding shoot expences(lunch, fuel and other)</v>
      </c>
    </row>
    <row r="32">
      <c r="A32" t="str">
        <v>18d2728f</v>
      </c>
      <c r="B32" t="str">
        <v>Sadi basta</v>
      </c>
      <c r="C32" t="str">
        <v>Clothing &amp; Jewellery</v>
      </c>
      <c r="D32" s="1">
        <v>25000</v>
      </c>
      <c r="E32" s="2" t="str">
        <v/>
      </c>
      <c r="F32" t="str">
        <v>Baste k sadiya</v>
      </c>
    </row>
    <row r="33">
      <c r="A33" t="str">
        <v>d1aee56d</v>
      </c>
      <c r="B33" t="str">
        <v>Shireen Dress</v>
      </c>
      <c r="C33" t="str">
        <v>Clothing &amp; Jewellery</v>
      </c>
      <c r="D33" s="1">
        <v>2000</v>
      </c>
      <c r="E33" s="2" t="str">
        <v/>
      </c>
      <c r="F33" t="str">
        <v>Shireen Dress</v>
      </c>
    </row>
    <row r="34">
      <c r="A34" t="str">
        <v>04ece648</v>
      </c>
      <c r="B34" t="str">
        <v>Soyarik mangal karyalay</v>
      </c>
      <c r="C34" t="str">
        <v>Venue &amp; Hall</v>
      </c>
      <c r="D34" s="1">
        <v>105000</v>
      </c>
      <c r="E34" s="2" t="str">
        <v>9850444117</v>
      </c>
      <c r="F34" t="str">
        <v>venue for reception</v>
      </c>
    </row>
    <row r="35">
      <c r="A35" t="str">
        <v>bd5f8d26</v>
      </c>
      <c r="B35" t="str">
        <v>Star Bazaar - Prewedding dress</v>
      </c>
      <c r="C35" t="str">
        <v>Clothing &amp; Jewellery</v>
      </c>
      <c r="D35" s="1">
        <v>6190</v>
      </c>
      <c r="E35" s="2" t="str">
        <v/>
      </c>
      <c r="F35" t="str">
        <v>Prewedding dress</v>
      </c>
    </row>
    <row r="36">
      <c r="A36" t="str">
        <v>db4969e8</v>
      </c>
      <c r="B36" t="str">
        <v>Tushar Traders Oil</v>
      </c>
      <c r="C36" t="str">
        <v>Food &amp; Catering</v>
      </c>
      <c r="D36" s="1">
        <v>5100</v>
      </c>
      <c r="E36" s="2" t="str">
        <v/>
      </c>
      <c r="F36" t="str">
        <v>Tushar Traders Oil</v>
      </c>
    </row>
  </sheetData>
  <autoFilter ref="A1:F36"/>
  <ignoredErrors>
    <ignoredError numberStoredAsText="1" sqref="A1:F3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3c9c77ed</v>
      </c>
      <c r="B29" t="str">
        <v>0421ab42</v>
      </c>
      <c r="C29" t="str">
        <v>Petrol Glanza</v>
      </c>
      <c r="D29" s="3">
        <v>46261</v>
      </c>
      <c r="E29" s="1">
        <v>4000</v>
      </c>
      <c r="F29" t="str">
        <v>Umar Sayyed (Father)</v>
      </c>
      <c r="G29" t="str">
        <v>Debit Card</v>
      </c>
      <c r="H29" t="str">
        <v>Petrol Paid</v>
      </c>
    </row>
    <row r="30">
      <c r="A30" t="str">
        <v>bbfbed2b</v>
      </c>
      <c r="B30" t="str">
        <v>eebc3aaf</v>
      </c>
      <c r="C30" t="str">
        <v>Navkar Sales Corporation</v>
      </c>
      <c r="D30" s="3">
        <v>46263</v>
      </c>
      <c r="E30" s="1">
        <v>8649</v>
      </c>
      <c r="F30" t="str">
        <v>Asif Sayyed (Son)</v>
      </c>
      <c r="G30" t="str">
        <v>UPI</v>
      </c>
      <c r="H30" t="str">
        <v>paid</v>
      </c>
    </row>
    <row r="31">
      <c r="A31" t="str">
        <v>c9cf6d4a</v>
      </c>
      <c r="B31" t="str">
        <v>db4969e8</v>
      </c>
      <c r="C31" t="str">
        <v>Tushar Traders Oil</v>
      </c>
      <c r="D31" s="3">
        <v>46263</v>
      </c>
      <c r="E31" s="1">
        <v>5100</v>
      </c>
      <c r="F31" t="str">
        <v>Asif Sayyed (Son)</v>
      </c>
      <c r="G31" t="str">
        <v>UPI</v>
      </c>
      <c r="H31" t="str">
        <v>paid</v>
      </c>
    </row>
    <row r="32">
      <c r="A32" t="str">
        <v>9c9ac50b</v>
      </c>
      <c r="B32" t="str">
        <v>0beedebe</v>
      </c>
      <c r="C32" t="str">
        <v>Bhavesh Treaders (kirana)</v>
      </c>
      <c r="D32" s="3">
        <v>46263</v>
      </c>
      <c r="E32" s="1">
        <v>4600</v>
      </c>
      <c r="F32" t="str">
        <v>Asif Sayyed (Son)</v>
      </c>
      <c r="G32" t="str">
        <v>UPI</v>
      </c>
      <c r="H32" t="str">
        <v>Bhavesh Treaders (kirana) paid</v>
      </c>
    </row>
    <row r="33">
      <c r="A33" t="str">
        <v>cda2807c</v>
      </c>
      <c r="B33" t="str">
        <v>e6b755dc</v>
      </c>
      <c r="C33" t="str">
        <v>New Balaji Treaders</v>
      </c>
      <c r="D33" s="3">
        <v>46263</v>
      </c>
      <c r="E33" s="1">
        <v>575</v>
      </c>
      <c r="F33" t="str">
        <v>Asif Sayyed (Son)</v>
      </c>
      <c r="G33" t="str">
        <v>UPI</v>
      </c>
      <c r="H33" t="str">
        <v>paid</v>
      </c>
    </row>
    <row r="34">
      <c r="A34" t="str">
        <v>62d1ce54</v>
      </c>
      <c r="B34" t="str">
        <v>89c1b231</v>
      </c>
      <c r="C34" t="str">
        <v>Pravin Masale</v>
      </c>
      <c r="D34" s="3">
        <v>46263</v>
      </c>
      <c r="E34" s="1">
        <v>3345</v>
      </c>
      <c r="F34" t="str">
        <v>Asif Sayyed (Son)</v>
      </c>
      <c r="G34" t="str">
        <v>UPI</v>
      </c>
      <c r="H34" t="str">
        <v>Pravin Masal Paid</v>
      </c>
    </row>
    <row r="35">
      <c r="A35" t="str">
        <v>13ce4f28</v>
      </c>
      <c r="B35" t="str">
        <v>1aa31869</v>
      </c>
      <c r="C35" t="str">
        <v>Bhavesh Treaders (karele &amp; javas)</v>
      </c>
      <c r="D35" s="3">
        <v>46263</v>
      </c>
      <c r="E35" s="1">
        <v>270</v>
      </c>
      <c r="F35" t="str">
        <v>Waheeda (mother)</v>
      </c>
      <c r="G35" t="str">
        <v>Cash</v>
      </c>
      <c r="H35" t="str">
        <v/>
      </c>
    </row>
    <row r="36">
      <c r="A36" t="str">
        <v>c2ac5cbf</v>
      </c>
      <c r="B36" t="str">
        <v>05d27deb</v>
      </c>
      <c r="C36" t="str">
        <v>Cream House Lunch</v>
      </c>
      <c r="D36" s="3">
        <v>46263</v>
      </c>
      <c r="E36" s="1">
        <v>1124</v>
      </c>
      <c r="F36" t="str">
        <v>Asif Sayyed (Son)</v>
      </c>
      <c r="G36" t="str">
        <v>UPI</v>
      </c>
      <c r="H36" t="str">
        <v>Cream House Lunch paid</v>
      </c>
    </row>
    <row r="37">
      <c r="A37" t="str">
        <v>a7faa1c7</v>
      </c>
      <c r="B37" t="str">
        <v>beb44857</v>
      </c>
      <c r="C37" t="str">
        <v>Pratap films and Photography</v>
      </c>
      <c r="D37" s="3">
        <v>46263</v>
      </c>
      <c r="E37" s="1">
        <v>10000</v>
      </c>
      <c r="F37" t="str">
        <v>Asif Sayyed (Son)</v>
      </c>
      <c r="G37" t="str">
        <v>UPI</v>
      </c>
      <c r="H37" t="str">
        <v>second installment</v>
      </c>
    </row>
  </sheetData>
  <autoFilter ref="A1:H37"/>
  <ignoredErrors>
    <ignoredError numberStoredAsText="1" sqref="A1:H3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Petrol Glanza</v>
      </c>
      <c r="B28" t="str">
        <v>Miscellaneous</v>
      </c>
      <c r="C28" s="1">
        <v>4000</v>
      </c>
      <c r="D28" s="1">
        <f>SUMIF('Payments'!$C:$C,$A28,'Payments'!$E:$E)</f>
        <v>4000</v>
      </c>
      <c r="E28" s="1">
        <f>C28-D28</f>
        <v>0</v>
      </c>
    </row>
    <row r="29">
      <c r="A29" t="str">
        <v>Pratap films and Photography</v>
      </c>
      <c r="B29" t="str">
        <v>Photography &amp; Video</v>
      </c>
      <c r="C29" s="1">
        <v>100000</v>
      </c>
      <c r="D29" s="1">
        <f>SUMIF('Payments'!$C:$C,$A29,'Payments'!$E:$E)</f>
        <v>20000</v>
      </c>
      <c r="E29" s="1">
        <f>C29-D29</f>
        <v>80000</v>
      </c>
    </row>
    <row r="30">
      <c r="A30" t="str">
        <v>Pravin Masale</v>
      </c>
      <c r="B30" t="str">
        <v>Food &amp; Catering</v>
      </c>
      <c r="C30" s="1">
        <v>3345</v>
      </c>
      <c r="D30" s="1">
        <f>SUMIF('Payments'!$C:$C,$A30,'Payments'!$E:$E)</f>
        <v>3345</v>
      </c>
      <c r="E30" s="1">
        <f>C30-D30</f>
        <v>0</v>
      </c>
    </row>
    <row r="31">
      <c r="A31" t="str">
        <v>Prewedding shoot expences(lunch, fuel and other)</v>
      </c>
      <c r="B31" t="str">
        <v>Miscellaneous</v>
      </c>
      <c r="C31" s="1">
        <v>11840</v>
      </c>
      <c r="D31" s="1">
        <f>SUMIF('Payments'!$C:$C,$A31,'Payments'!$E:$E)</f>
        <v>11840</v>
      </c>
      <c r="E31" s="1">
        <f>C31-D31</f>
        <v>0</v>
      </c>
    </row>
    <row r="32">
      <c r="A32" t="str">
        <v>Sadi basta</v>
      </c>
      <c r="B32" t="str">
        <v>Clothing &amp; Jewellery</v>
      </c>
      <c r="C32" s="1">
        <v>25000</v>
      </c>
      <c r="D32" s="1">
        <f>SUMIF('Payments'!$C:$C,$A32,'Payments'!$E:$E)</f>
        <v>25000</v>
      </c>
      <c r="E32" s="1">
        <f>C32-D32</f>
        <v>0</v>
      </c>
    </row>
    <row r="33">
      <c r="A33" t="str">
        <v>Shireen Dress</v>
      </c>
      <c r="B33" t="str">
        <v>Clothing &amp; Jewellery</v>
      </c>
      <c r="C33" s="1">
        <v>2000</v>
      </c>
      <c r="D33" s="1">
        <f>SUMIF('Payments'!$C:$C,$A33,'Payments'!$E:$E)</f>
        <v>2000</v>
      </c>
      <c r="E33" s="1">
        <f>C33-D33</f>
        <v>0</v>
      </c>
    </row>
    <row r="34">
      <c r="A34" t="str">
        <v>Soyarik mangal karyalay</v>
      </c>
      <c r="B34" t="str">
        <v>Venue &amp; Hall</v>
      </c>
      <c r="C34" s="1">
        <v>105000</v>
      </c>
      <c r="D34" s="1">
        <f>SUMIF('Payments'!$C:$C,$A34,'Payments'!$E:$E)</f>
        <v>15000</v>
      </c>
      <c r="E34" s="1">
        <f>C34-D34</f>
        <v>90000</v>
      </c>
    </row>
    <row r="35">
      <c r="A35" t="str">
        <v>Star Bazaar - Prewedding dress</v>
      </c>
      <c r="B35" t="str">
        <v>Clothing &amp; Jewellery</v>
      </c>
      <c r="C35" s="1">
        <v>6190</v>
      </c>
      <c r="D35" s="1">
        <f>SUMIF('Payments'!$C:$C,$A35,'Payments'!$E:$E)</f>
        <v>6190</v>
      </c>
      <c r="E35" s="1">
        <f>C35-D35</f>
        <v>0</v>
      </c>
    </row>
    <row r="36">
      <c r="A36" t="str">
        <v>Tushar Traders Oil</v>
      </c>
      <c r="B36" t="str">
        <v>Food &amp; Catering</v>
      </c>
      <c r="C36" s="1">
        <v>5100</v>
      </c>
      <c r="D36" s="1">
        <f>SUMIF('Payments'!$C:$C,$A36,'Payments'!$E:$E)</f>
        <v>5100</v>
      </c>
      <c r="E36" s="1">
        <f>C36-D36</f>
        <v>0</v>
      </c>
    </row>
    <row r="37">
      <c r="A37" t="str">
        <v>Total</v>
      </c>
      <c r="C37" s="1">
        <f>SUM(C2:C36)</f>
        <v>1127866</v>
      </c>
      <c r="D37" s="1">
        <f>SUM(D2:D36)</f>
        <v>294566</v>
      </c>
      <c r="E37" s="1">
        <f>SUM(E2:E36)</f>
        <v>833300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