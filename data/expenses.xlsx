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Budget" sheetId="1" r:id="rId1"/>
    <sheet name="Payments" sheetId="2" r:id="rId2"/>
    <sheet name="Summary" sheetId="3" r:id="rId3"/>
  </sheets>
  <definedNames>
    <definedName name="_xlnm._FilterDatabase" localSheetId="0">'Budget'!A1:E8</definedName>
    <definedName name="_xlnm._FilterDatabase" localSheetId="1">'Payments'!A1:H8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2">
    <numFmt numFmtId="56" formatCode="&quot;上午/下午 &quot;hh&quot;時&quot;mm&quot;分&quot;ss&quot;秒 &quot;"/>
    <numFmt numFmtId="60" formatCode="yyyy-mm-dd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 applyNumberFormat="1"/>
    <xf numFmtId="4" fontId="0" fillId="0" borderId="0" xfId="0" applyNumberFormat="1"/>
    <xf numFmtId="6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E8"/>
  <sheetViews>
    <sheetView workbookViewId="0"/>
  </sheetViews>
  <cols>
    <col min="1" max="1" width="10.83203125" customWidth="1"/>
    <col min="2" max="2" width="30.83203125" customWidth="1"/>
    <col min="3" max="3" width="22.83203125" customWidth="1"/>
    <col min="4" max="4" width="14.83203125" customWidth="1"/>
    <col min="5" max="5" width="34.83203125" customWidth="1"/>
  </cols>
  <sheetData>
    <row r="1">
      <c r="A1" t="str">
        <v>ID</v>
      </c>
      <c r="B1" t="str">
        <v>Item</v>
      </c>
      <c r="C1" t="str">
        <v>Category</v>
      </c>
      <c r="D1" t="str">
        <v>Estimated</v>
      </c>
      <c r="E1" t="str">
        <v>Notes</v>
      </c>
    </row>
    <row r="2">
      <c r="A2" t="str">
        <v>168b7bbd</v>
      </c>
      <c r="B2" t="str">
        <v>Huseni Caterers</v>
      </c>
      <c r="C2" t="str">
        <v>Food &amp; Catering</v>
      </c>
      <c r="D2" s="1">
        <v>575000</v>
      </c>
      <c r="E2" t="str">
        <v>Reception food</v>
      </c>
    </row>
    <row r="3">
      <c r="A3" t="str">
        <v>c7e8b352</v>
      </c>
      <c r="B3" t="str">
        <v>Moolchand - Bride reception dress</v>
      </c>
      <c r="C3" t="str">
        <v>Clothing &amp; Jewellery</v>
      </c>
      <c r="D3" s="1">
        <v>7604</v>
      </c>
      <c r="E3" t="str">
        <v>Bride reception dress</v>
      </c>
    </row>
    <row r="4">
      <c r="A4" t="str">
        <v>068998a3</v>
      </c>
      <c r="B4" t="str">
        <v>Morya Collections - Groom wedding dress</v>
      </c>
      <c r="C4" t="str">
        <v>Clothing &amp; Jewellery</v>
      </c>
      <c r="D4" s="1">
        <v>13680</v>
      </c>
      <c r="E4" t="str">
        <v>Groom wedding dress</v>
      </c>
    </row>
    <row r="5">
      <c r="A5" t="str">
        <v>113a1c1a</v>
      </c>
      <c r="B5" t="str">
        <v>Parag bride 3 dress</v>
      </c>
      <c r="C5" t="str">
        <v>Clothing &amp; Jewellery</v>
      </c>
      <c r="D5" s="1">
        <v>5700</v>
      </c>
      <c r="E5" t="str">
        <v>bride 3 dress</v>
      </c>
    </row>
    <row r="6">
      <c r="A6" t="str">
        <v>beb44857</v>
      </c>
      <c r="B6" t="str">
        <v>Pratap films and Photography</v>
      </c>
      <c r="C6" t="str">
        <v>Photography &amp; Video</v>
      </c>
      <c r="D6" s="1">
        <v>100000</v>
      </c>
      <c r="E6" t="str">
        <v>Photography cost</v>
      </c>
    </row>
    <row r="7">
      <c r="A7" t="str">
        <v>04ece648</v>
      </c>
      <c r="B7" t="str">
        <v>Soyarik mangal karyalay</v>
      </c>
      <c r="C7" t="str">
        <v>Venue &amp; Hall</v>
      </c>
      <c r="D7" s="1">
        <v>105000</v>
      </c>
      <c r="E7" t="str">
        <v>venue for reception</v>
      </c>
    </row>
    <row r="8">
      <c r="A8" t="str">
        <v>bd5f8d26</v>
      </c>
      <c r="B8" t="str">
        <v>Star Bazaar - Prewedding dress</v>
      </c>
      <c r="C8" t="str">
        <v>Clothing &amp; Jewellery</v>
      </c>
      <c r="D8" s="1">
        <v>6190</v>
      </c>
      <c r="E8" t="str">
        <v>Prewedding dress</v>
      </c>
    </row>
  </sheetData>
  <autoFilter ref="A1:E8"/>
  <ignoredErrors>
    <ignoredError numberStoredAsText="1" sqref="A1:E8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H8"/>
  <sheetViews>
    <sheetView workbookViewId="0"/>
  </sheetViews>
  <cols>
    <col min="1" max="1" width="10.83203125" customWidth="1"/>
    <col min="2" max="2" width="10.83203125" customWidth="1"/>
    <col min="3" max="3" width="30.83203125" customWidth="1"/>
    <col min="4" max="4" width="12.83203125" customWidth="1"/>
    <col min="5" max="5" width="14.83203125" customWidth="1"/>
    <col min="6" max="6" width="22.83203125" customWidth="1"/>
    <col min="7" max="7" width="16.83203125" customWidth="1"/>
    <col min="8" max="8" width="34.83203125" customWidth="1"/>
  </cols>
  <sheetData>
    <row r="1">
      <c r="A1" t="str">
        <v>ID</v>
      </c>
      <c r="B1" t="str">
        <v>Item ID</v>
      </c>
      <c r="C1" t="str">
        <v>Item</v>
      </c>
      <c r="D1" t="str">
        <v>Date</v>
      </c>
      <c r="E1" t="str">
        <v>Amount</v>
      </c>
      <c r="F1" t="str">
        <v>Paid By</v>
      </c>
      <c r="G1" t="str">
        <v>Payment Method</v>
      </c>
      <c r="H1" t="str">
        <v>Notes</v>
      </c>
    </row>
    <row r="2">
      <c r="A2" t="str">
        <v>7e66fd41</v>
      </c>
      <c r="B2" t="str">
        <v>04ece648</v>
      </c>
      <c r="C2" t="str">
        <v>Soyarik mangal karyalay</v>
      </c>
      <c r="D2" s="2">
        <v>46179</v>
      </c>
      <c r="E2" s="1">
        <v>15000</v>
      </c>
      <c r="F2" t="str">
        <v>Asif Sayyed (Son)</v>
      </c>
      <c r="G2" t="str">
        <v>UPI</v>
      </c>
      <c r="H2" t="str">
        <v>Advance payment</v>
      </c>
    </row>
    <row r="3">
      <c r="A3" t="str">
        <v>e09d33db</v>
      </c>
      <c r="B3" t="str">
        <v>beb44857</v>
      </c>
      <c r="C3" t="str">
        <v>Pratap films and Photography</v>
      </c>
      <c r="D3" s="2">
        <v>46220</v>
      </c>
      <c r="E3" s="1">
        <v>10000</v>
      </c>
      <c r="F3" t="str">
        <v>Asif Sayyed (Son)</v>
      </c>
      <c r="G3" t="str">
        <v>UPI</v>
      </c>
      <c r="H3" t="str">
        <v>Advance payment</v>
      </c>
    </row>
    <row r="4">
      <c r="A4" t="str">
        <v>25d50b92</v>
      </c>
      <c r="B4" t="str">
        <v>bd5f8d26</v>
      </c>
      <c r="C4" t="str">
        <v>Star Bazaar - Prewedding dress</v>
      </c>
      <c r="D4" s="2">
        <v>46229</v>
      </c>
      <c r="E4" s="1">
        <v>6190</v>
      </c>
      <c r="F4" t="str">
        <v>Asif Sayyed (Son)</v>
      </c>
      <c r="G4" t="str">
        <v>UPI</v>
      </c>
      <c r="H4" t="str">
        <v>Prewedding dress payment</v>
      </c>
    </row>
    <row r="5">
      <c r="A5" t="str">
        <v>3aeac8ad</v>
      </c>
      <c r="B5" t="str">
        <v>168b7bbd</v>
      </c>
      <c r="C5" t="str">
        <v>Huseni Caterers</v>
      </c>
      <c r="D5" s="2">
        <v>46233</v>
      </c>
      <c r="E5" s="1">
        <v>50000</v>
      </c>
      <c r="F5" t="str">
        <v>Umar Sayyed (Father)</v>
      </c>
      <c r="G5" t="str">
        <v>Cash</v>
      </c>
      <c r="H5" t="str">
        <v>Food Advance</v>
      </c>
    </row>
    <row r="6">
      <c r="A6" t="str">
        <v>60cefa3a</v>
      </c>
      <c r="B6" t="str">
        <v>c7e8b352</v>
      </c>
      <c r="C6" t="str">
        <v>Moolchand - Bride reception dress</v>
      </c>
      <c r="D6" s="2">
        <v>46233</v>
      </c>
      <c r="E6" s="1">
        <v>7604</v>
      </c>
      <c r="F6" t="str">
        <v>Asif Sayyed (Son)</v>
      </c>
      <c r="G6" t="str">
        <v>UPI</v>
      </c>
      <c r="H6" t="str">
        <v>Bride reception dress</v>
      </c>
    </row>
    <row r="7">
      <c r="A7" t="str">
        <v>2c7813c2</v>
      </c>
      <c r="B7" t="str">
        <v>068998a3</v>
      </c>
      <c r="C7" t="str">
        <v>Morya Collections - Groom wedding dress</v>
      </c>
      <c r="D7" s="2">
        <v>46233</v>
      </c>
      <c r="E7" s="1">
        <v>13680</v>
      </c>
      <c r="F7" t="str">
        <v>Asif Sayyed (Son)</v>
      </c>
      <c r="G7" t="str">
        <v>UPI</v>
      </c>
      <c r="H7" t="str">
        <v>Groom wedding dress payment</v>
      </c>
    </row>
    <row r="8">
      <c r="A8" t="str">
        <v>ab012a97</v>
      </c>
      <c r="B8" t="str">
        <v>113a1c1a</v>
      </c>
      <c r="C8" t="str">
        <v>Parag bride 3 dress</v>
      </c>
      <c r="D8" s="2">
        <v>46240</v>
      </c>
      <c r="E8" s="1">
        <v>5700</v>
      </c>
      <c r="F8" t="str">
        <v>Waheeda (mother)</v>
      </c>
      <c r="G8" t="str">
        <v>UPI</v>
      </c>
      <c r="H8" t="str">
        <v>dress payment</v>
      </c>
    </row>
  </sheetData>
  <autoFilter ref="A1:H8"/>
  <ignoredErrors>
    <ignoredError numberStoredAsText="1" sqref="A1:H8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E9"/>
  <sheetViews>
    <sheetView workbookViewId="0"/>
  </sheetViews>
  <cols>
    <col min="1" max="1" width="30.83203125" customWidth="1"/>
    <col min="2" max="2" width="22.83203125" customWidth="1"/>
    <col min="3" max="3" width="14.83203125" customWidth="1"/>
    <col min="4" max="4" width="14.83203125" customWidth="1"/>
    <col min="5" max="5" width="14.83203125" customWidth="1"/>
  </cols>
  <sheetData>
    <row r="1">
      <c r="A1" t="str">
        <v>Item</v>
      </c>
      <c r="B1" t="str">
        <v>Category</v>
      </c>
      <c r="C1" t="str">
        <v>Estimated</v>
      </c>
      <c r="D1" t="str">
        <v>Paid</v>
      </c>
      <c r="E1" t="str">
        <v>Still to pay</v>
      </c>
    </row>
    <row r="2">
      <c r="A2" t="str">
        <v>Huseni Caterers</v>
      </c>
      <c r="B2" t="str">
        <v>Food &amp; Catering</v>
      </c>
      <c r="C2" s="1">
        <v>575000</v>
      </c>
      <c r="D2" s="1">
        <f>SUMIF('Payments'!$C:$C,$A2,'Payments'!$E:$E)</f>
        <v>50000</v>
      </c>
      <c r="E2" s="1">
        <f>C2-D2</f>
        <v>525000</v>
      </c>
    </row>
    <row r="3">
      <c r="A3" t="str">
        <v>Moolchand - Bride reception dress</v>
      </c>
      <c r="B3" t="str">
        <v>Clothing &amp; Jewellery</v>
      </c>
      <c r="C3" s="1">
        <v>7604</v>
      </c>
      <c r="D3" s="1">
        <f>SUMIF('Payments'!$C:$C,$A3,'Payments'!$E:$E)</f>
        <v>7604</v>
      </c>
      <c r="E3" s="1">
        <f>C3-D3</f>
        <v>0</v>
      </c>
    </row>
    <row r="4">
      <c r="A4" t="str">
        <v>Morya Collections - Groom wedding dress</v>
      </c>
      <c r="B4" t="str">
        <v>Clothing &amp; Jewellery</v>
      </c>
      <c r="C4" s="1">
        <v>13680</v>
      </c>
      <c r="D4" s="1">
        <f>SUMIF('Payments'!$C:$C,$A4,'Payments'!$E:$E)</f>
        <v>13680</v>
      </c>
      <c r="E4" s="1">
        <f>C4-D4</f>
        <v>0</v>
      </c>
    </row>
    <row r="5">
      <c r="A5" t="str">
        <v>Parag bride 3 dress</v>
      </c>
      <c r="B5" t="str">
        <v>Clothing &amp; Jewellery</v>
      </c>
      <c r="C5" s="1">
        <v>5700</v>
      </c>
      <c r="D5" s="1">
        <f>SUMIF('Payments'!$C:$C,$A5,'Payments'!$E:$E)</f>
        <v>5700</v>
      </c>
      <c r="E5" s="1">
        <f>C5-D5</f>
        <v>0</v>
      </c>
    </row>
    <row r="6">
      <c r="A6" t="str">
        <v>Pratap films and Photography</v>
      </c>
      <c r="B6" t="str">
        <v>Photography &amp; Video</v>
      </c>
      <c r="C6" s="1">
        <v>100000</v>
      </c>
      <c r="D6" s="1">
        <f>SUMIF('Payments'!$C:$C,$A6,'Payments'!$E:$E)</f>
        <v>10000</v>
      </c>
      <c r="E6" s="1">
        <f>C6-D6</f>
        <v>90000</v>
      </c>
    </row>
    <row r="7">
      <c r="A7" t="str">
        <v>Soyarik mangal karyalay</v>
      </c>
      <c r="B7" t="str">
        <v>Venue &amp; Hall</v>
      </c>
      <c r="C7" s="1">
        <v>105000</v>
      </c>
      <c r="D7" s="1">
        <f>SUMIF('Payments'!$C:$C,$A7,'Payments'!$E:$E)</f>
        <v>15000</v>
      </c>
      <c r="E7" s="1">
        <f>C7-D7</f>
        <v>90000</v>
      </c>
    </row>
    <row r="8">
      <c r="A8" t="str">
        <v>Star Bazaar - Prewedding dress</v>
      </c>
      <c r="B8" t="str">
        <v>Clothing &amp; Jewellery</v>
      </c>
      <c r="C8" s="1">
        <v>6190</v>
      </c>
      <c r="D8" s="1">
        <f>SUMIF('Payments'!$C:$C,$A8,'Payments'!$E:$E)</f>
        <v>6190</v>
      </c>
      <c r="E8" s="1">
        <f>C8-D8</f>
        <v>0</v>
      </c>
    </row>
    <row r="9">
      <c r="A9" t="str">
        <v>Total</v>
      </c>
      <c r="C9" s="1">
        <f>SUM(C2:C8)</f>
        <v>813174</v>
      </c>
      <c r="D9" s="1">
        <f>SUM(D2:D8)</f>
        <v>108174</v>
      </c>
      <c r="E9" s="1">
        <f>SUM(E2:E8)</f>
        <v>705000</v>
      </c>
    </row>
  </sheetData>
  <ignoredErrors>
    <ignoredError numberStoredAsText="1" sqref="A1:E9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Budget</vt:lpstr>
      <vt:lpstr>Payments</vt:lpstr>
      <vt:lpstr>Summary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