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158000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</sheetData>
  <autoFilter ref="A1:H61"/>
  <ignoredErrors>
    <ignoredError numberStoredAsText="1" sqref="A1:H6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158000</v>
      </c>
      <c r="D17" s="1">
        <f>SUMIF('Payments'!$C:$C,$A17,'Payments'!$E:$E)</f>
        <v>108000</v>
      </c>
      <c r="E17" s="1">
        <f>C17-D17</f>
        <v>50000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15000</v>
      </c>
      <c r="E21" s="1">
        <f>C21-D21</f>
        <v>24500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0</v>
      </c>
      <c r="E47" s="1">
        <f>C47-D47</f>
        <v>7500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1230738</v>
      </c>
      <c r="D50" s="1">
        <f>SUM(D2:D49)</f>
        <v>962738</v>
      </c>
      <c r="E50" s="1">
        <f>SUM(E2:E49)</f>
        <v>268000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