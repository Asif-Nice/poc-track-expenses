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158000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4d3bd5b1</v>
      </c>
      <c r="B20" t="str">
        <v>Ganesh Bhondve Mandva + decoration</v>
      </c>
      <c r="C20" t="str">
        <v>Decoration</v>
      </c>
      <c r="D20" s="1">
        <v>39500</v>
      </c>
      <c r="E20" s="2" t="str">
        <v>9168993010</v>
      </c>
      <c r="F20" t="str">
        <v/>
      </c>
    </row>
    <row r="21">
      <c r="A21" t="str">
        <v>766bfdf7</v>
      </c>
      <c r="B21" t="str">
        <v>Garva Biryani, hardware expense, flower</v>
      </c>
      <c r="C21" t="str">
        <v>Miscellaneous</v>
      </c>
      <c r="D21" s="1">
        <v>410</v>
      </c>
      <c r="E21" s="2" t="str">
        <v/>
      </c>
      <c r="F21" t="str">
        <v/>
      </c>
    </row>
    <row r="22">
      <c r="A22" t="str">
        <v>209d43b7</v>
      </c>
      <c r="B22" t="str">
        <v>Groom haircut and other saloon expences</v>
      </c>
      <c r="C22" t="str">
        <v>Beauty &amp; Mehendi</v>
      </c>
      <c r="D22" s="1">
        <v>500</v>
      </c>
      <c r="E22" s="2" t="str">
        <v/>
      </c>
      <c r="F22" t="str">
        <v>Groom haircut and other saloon expences</v>
      </c>
    </row>
    <row r="23">
      <c r="A23" t="str">
        <v>168b7bbd</v>
      </c>
      <c r="B23" t="str">
        <v>Huseni Caterers</v>
      </c>
      <c r="C23" t="str">
        <v>Food &amp; Catering</v>
      </c>
      <c r="D23" s="1">
        <v>575000</v>
      </c>
      <c r="E23" s="2" t="str">
        <v>9226111899</v>
      </c>
      <c r="F23" t="str">
        <v>Reception food</v>
      </c>
    </row>
    <row r="24">
      <c r="A24" t="str">
        <v>dc70b2a1</v>
      </c>
      <c r="B24" t="str">
        <v>Ice Cream, vada pav, Irani Cafe, Milk</v>
      </c>
      <c r="C24" t="str">
        <v>Food &amp; Catering</v>
      </c>
      <c r="D24" s="1">
        <v>3000</v>
      </c>
      <c r="E24" s="2" t="str">
        <v/>
      </c>
      <c r="F24" t="str">
        <v>internal expense</v>
      </c>
    </row>
    <row r="25">
      <c r="A25" t="str">
        <v>aa710190</v>
      </c>
      <c r="B25" t="str">
        <v>Invitation Card (Shubham)</v>
      </c>
      <c r="C25" t="str">
        <v>Invitations &amp; Printing</v>
      </c>
      <c r="D25" s="1">
        <v>1500</v>
      </c>
      <c r="E25" s="2" t="str">
        <v>7385125161</v>
      </c>
      <c r="F25" t="str">
        <v>Invitation Card (Shubham)  100</v>
      </c>
    </row>
    <row r="26">
      <c r="A26" t="str">
        <v>1e95c55a</v>
      </c>
      <c r="B26" t="str">
        <v>Invitation Card (treaditional)</v>
      </c>
      <c r="C26" t="str">
        <v>Invitations &amp; Printing</v>
      </c>
      <c r="D26" s="1">
        <v>3675</v>
      </c>
      <c r="E26" s="2" t="str">
        <v>9890326266</v>
      </c>
      <c r="F26" t="str">
        <v>Invitation Card (treaditional)</v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</sheetData>
  <autoFilter ref="A1:H58"/>
  <ignoredErrors>
    <ignoredError numberStoredAsText="1" sqref="A1:H5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158000</v>
      </c>
      <c r="D16" s="1">
        <f>SUMIF('Payments'!$C:$C,$A16,'Payments'!$E:$E)</f>
        <v>108000</v>
      </c>
      <c r="E16" s="1">
        <f>C16-D16</f>
        <v>50000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Ganesh Bhondve Mandva + decoration</v>
      </c>
      <c r="B20" t="str">
        <v>Decoration</v>
      </c>
      <c r="C20" s="1">
        <v>39500</v>
      </c>
      <c r="D20" s="1">
        <f>SUMIF('Payments'!$C:$C,$A20,'Payments'!$E:$E)</f>
        <v>15000</v>
      </c>
      <c r="E20" s="1">
        <f>C20-D20</f>
        <v>24500</v>
      </c>
    </row>
    <row r="21">
      <c r="A21" t="str">
        <v>Garva Biryani, hardware expense, flower</v>
      </c>
      <c r="B21" t="str">
        <v>Miscellaneous</v>
      </c>
      <c r="C21" s="1">
        <v>410</v>
      </c>
      <c r="D21" s="1">
        <f>SUMIF('Payments'!$C:$C,$A21,'Payments'!$E:$E)</f>
        <v>410</v>
      </c>
      <c r="E21" s="1">
        <f>C21-D21</f>
        <v>0</v>
      </c>
    </row>
    <row r="22">
      <c r="A22" t="str">
        <v>Groom haircut and other saloon expences</v>
      </c>
      <c r="B22" t="str">
        <v>Beauty &amp; Mehendi</v>
      </c>
      <c r="C22" s="1">
        <v>500</v>
      </c>
      <c r="D22" s="1">
        <f>SUMIF('Payments'!$C:$C,$A22,'Payments'!$E:$E)</f>
        <v>500</v>
      </c>
      <c r="E22" s="1">
        <f>C22-D22</f>
        <v>0</v>
      </c>
    </row>
    <row r="23">
      <c r="A23" t="str">
        <v>Huseni Caterers</v>
      </c>
      <c r="B23" t="str">
        <v>Food &amp; Catering</v>
      </c>
      <c r="C23" s="1">
        <v>575000</v>
      </c>
      <c r="D23" s="1">
        <f>SUMIF('Payments'!$C:$C,$A23,'Payments'!$E:$E)</f>
        <v>450000</v>
      </c>
      <c r="E23" s="1">
        <f>C23-D23</f>
        <v>125000</v>
      </c>
    </row>
    <row r="24">
      <c r="A24" t="str">
        <v>Ice Cream, vada pav, Irani Cafe, Milk</v>
      </c>
      <c r="B24" t="str">
        <v>Food &amp; Catering</v>
      </c>
      <c r="C24" s="1">
        <v>3000</v>
      </c>
      <c r="D24" s="1">
        <f>SUMIF('Payments'!$C:$C,$A24,'Payments'!$E:$E)</f>
        <v>3000</v>
      </c>
      <c r="E24" s="1">
        <f>C24-D24</f>
        <v>0</v>
      </c>
    </row>
    <row r="25">
      <c r="A25" t="str">
        <v>Invitation Card (Shubham)</v>
      </c>
      <c r="B25" t="str">
        <v>Invitations &amp; Printing</v>
      </c>
      <c r="C25" s="1">
        <v>1500</v>
      </c>
      <c r="D25" s="1">
        <f>SUMIF('Payments'!$C:$C,$A25,'Payments'!$E:$E)</f>
        <v>1500</v>
      </c>
      <c r="E25" s="1">
        <f>C25-D25</f>
        <v>0</v>
      </c>
    </row>
    <row r="26">
      <c r="A26" t="str">
        <v>Invitation Card (treaditional)</v>
      </c>
      <c r="B26" t="str">
        <v>Invitations &amp; Printing</v>
      </c>
      <c r="C26" s="1">
        <v>3675</v>
      </c>
      <c r="D26" s="1">
        <f>SUMIF('Payments'!$C:$C,$A26,'Payments'!$E:$E)</f>
        <v>3675</v>
      </c>
      <c r="E26" s="1">
        <f>C26-D26</f>
        <v>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40000</v>
      </c>
      <c r="E39" s="1">
        <f>C39-D39</f>
        <v>60000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1214826</v>
      </c>
      <c r="D47" s="1">
        <f>SUM(D2:D46)</f>
        <v>940326</v>
      </c>
      <c r="E47" s="1">
        <f>SUM(E2:E46)</f>
        <v>274500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