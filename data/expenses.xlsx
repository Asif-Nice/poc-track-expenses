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158000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</v>
      </c>
      <c r="F63" t="str">
        <v>Asif Sayyed (Son)</v>
      </c>
      <c r="G63" t="str">
        <v>UPI</v>
      </c>
      <c r="H63" t="str">
        <v>Final payment</v>
      </c>
    </row>
    <row r="64">
      <c r="A64" t="str">
        <v>4f298a0d</v>
      </c>
      <c r="B64" t="str">
        <v>631875ca</v>
      </c>
      <c r="C64" t="str">
        <v>Day night Flower Decoration - (hall)</v>
      </c>
      <c r="D64" s="3">
        <v>46302</v>
      </c>
      <c r="E64" s="1">
        <v>20000</v>
      </c>
      <c r="F64" t="str">
        <v>Asif Sayyed (Son)</v>
      </c>
      <c r="G64" t="str">
        <v>UPI</v>
      </c>
      <c r="H64" t="str">
        <v>Installment</v>
      </c>
    </row>
  </sheetData>
  <autoFilter ref="A1:H64"/>
  <ignoredErrors>
    <ignoredError numberStoredAsText="1" sqref="A1:H6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158000</v>
      </c>
      <c r="D17" s="1">
        <f>SUMIF('Payments'!$C:$C,$A17,'Payments'!$E:$E)</f>
        <v>128000</v>
      </c>
      <c r="E17" s="1">
        <f>C17-D17</f>
        <v>30000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17400</v>
      </c>
      <c r="E21" s="1">
        <f>C21-D21</f>
        <v>22100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1230738</v>
      </c>
      <c r="D50" s="1">
        <f>SUM(D2:D49)</f>
        <v>992638</v>
      </c>
      <c r="E50" s="1">
        <f>SUM(E2:E49)</f>
        <v>238100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