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beb44857</v>
      </c>
      <c r="B28" t="str">
        <v>Pratap films and Photography</v>
      </c>
      <c r="C28" t="str">
        <v>Photography &amp; Video</v>
      </c>
      <c r="D28" s="1">
        <v>100000</v>
      </c>
      <c r="E28" s="2" t="str">
        <v>9021598286</v>
      </c>
      <c r="F28" t="str">
        <v>Photography cost</v>
      </c>
    </row>
    <row r="29">
      <c r="A29" t="str">
        <v>89c1b231</v>
      </c>
      <c r="B29" t="str">
        <v>Pravin Masale</v>
      </c>
      <c r="C29" t="str">
        <v>Food &amp; Catering</v>
      </c>
      <c r="D29" s="1">
        <v>3345</v>
      </c>
      <c r="E29" s="2" t="str">
        <v/>
      </c>
      <c r="F29" t="str">
        <v>Pravin Masale</v>
      </c>
    </row>
    <row r="30">
      <c r="A30" t="str">
        <v>6d180155</v>
      </c>
      <c r="B30" t="str">
        <v>Prewedding shoot expences(lunch, fuel and other)</v>
      </c>
      <c r="C30" t="str">
        <v>Miscellaneous</v>
      </c>
      <c r="D30" s="1">
        <v>11840</v>
      </c>
      <c r="E30" s="2" t="str">
        <v/>
      </c>
      <c r="F30" t="str">
        <v>Prewedding shoot expences(lunch, fuel and other)</v>
      </c>
    </row>
    <row r="31">
      <c r="A31" t="str">
        <v>18d2728f</v>
      </c>
      <c r="B31" t="str">
        <v>Sadi basta</v>
      </c>
      <c r="C31" t="str">
        <v>Clothing &amp; Jewellery</v>
      </c>
      <c r="D31" s="1">
        <v>25000</v>
      </c>
      <c r="E31" s="2" t="str">
        <v/>
      </c>
      <c r="F31" t="str">
        <v>Baste k sadiya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</sheetData>
  <autoFilter ref="A1:H36"/>
  <ignoredErrors>
    <ignoredError numberStoredAsText="1" sqref="A1:H3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Pratap films and Photography</v>
      </c>
      <c r="B28" t="str">
        <v>Photography &amp; Video</v>
      </c>
      <c r="C28" s="1">
        <v>100000</v>
      </c>
      <c r="D28" s="1">
        <f>SUMIF('Payments'!$C:$C,$A28,'Payments'!$E:$E)</f>
        <v>20000</v>
      </c>
      <c r="E28" s="1">
        <f>C28-D28</f>
        <v>80000</v>
      </c>
    </row>
    <row r="29">
      <c r="A29" t="str">
        <v>Pravin Masale</v>
      </c>
      <c r="B29" t="str">
        <v>Food &amp; Catering</v>
      </c>
      <c r="C29" s="1">
        <v>3345</v>
      </c>
      <c r="D29" s="1">
        <f>SUMIF('Payments'!$C:$C,$A29,'Payments'!$E:$E)</f>
        <v>3345</v>
      </c>
      <c r="E29" s="1">
        <f>C29-D29</f>
        <v>0</v>
      </c>
    </row>
    <row r="30">
      <c r="A30" t="str">
        <v>Prewedding shoot expences(lunch, fuel and other)</v>
      </c>
      <c r="B30" t="str">
        <v>Miscellaneous</v>
      </c>
      <c r="C30" s="1">
        <v>11840</v>
      </c>
      <c r="D30" s="1">
        <f>SUMIF('Payments'!$C:$C,$A30,'Payments'!$E:$E)</f>
        <v>11840</v>
      </c>
      <c r="E30" s="1">
        <f>C30-D30</f>
        <v>0</v>
      </c>
    </row>
    <row r="31">
      <c r="A31" t="str">
        <v>Sadi basta</v>
      </c>
      <c r="B31" t="str">
        <v>Clothing &amp; Jewellery</v>
      </c>
      <c r="C31" s="1">
        <v>25000</v>
      </c>
      <c r="D31" s="1">
        <f>SUMIF('Payments'!$C:$C,$A31,'Payments'!$E:$E)</f>
        <v>25000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1123866</v>
      </c>
      <c r="D36" s="1">
        <f>SUM(D2:D35)</f>
        <v>290566</v>
      </c>
      <c r="E36" s="1">
        <f>SUM(E2:E35)</f>
        <v>833300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