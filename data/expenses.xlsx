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'Budget'!A1:F54</definedName>
    <definedName name="_xlnm._FilterDatabase" localSheetId="1">'Payments'!A1:H73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c7e8b352</v>
      </c>
      <c r="B33" t="str">
        <v>Moolchand - Bride reception dress</v>
      </c>
      <c r="C33" t="str">
        <v>Clothing &amp; Jewellery</v>
      </c>
      <c r="D33" s="1">
        <v>7604</v>
      </c>
      <c r="E33" s="2" t="str">
        <v/>
      </c>
      <c r="F33" t="str">
        <v>Bride reception dress</v>
      </c>
    </row>
    <row r="34">
      <c r="A34" t="str">
        <v>2c67b679</v>
      </c>
      <c r="B34" t="str">
        <v>Moolchand Sarees basta</v>
      </c>
      <c r="C34" t="str">
        <v>Clothing &amp; Jewellery</v>
      </c>
      <c r="D34" s="1">
        <v>24880</v>
      </c>
      <c r="E34" s="2" t="str">
        <v/>
      </c>
      <c r="F34" t="str">
        <v>Moolchand Sarees for basta</v>
      </c>
    </row>
    <row r="35">
      <c r="A35" t="str">
        <v>068998a3</v>
      </c>
      <c r="B35" t="str">
        <v>Morya Collections - Groom wedding dress</v>
      </c>
      <c r="C35" t="str">
        <v>Clothing &amp; Jewellery</v>
      </c>
      <c r="D35" s="1">
        <v>13680</v>
      </c>
      <c r="E35" s="2" t="str">
        <v/>
      </c>
      <c r="F35" t="str">
        <v>Groom wedding dress</v>
      </c>
    </row>
    <row r="36">
      <c r="A36" t="str">
        <v>a78dd739</v>
      </c>
      <c r="B36" t="str">
        <v>Morya mojadii</v>
      </c>
      <c r="C36" t="str">
        <v>Clothing &amp; Jewellery</v>
      </c>
      <c r="D36" s="1">
        <v>400</v>
      </c>
      <c r="E36" s="2" t="str">
        <v/>
      </c>
      <c r="F36" t="str">
        <v>Shoes</v>
      </c>
    </row>
    <row r="37">
      <c r="A37" t="str">
        <v>b1e7073e</v>
      </c>
      <c r="B37" t="str">
        <v>Mummy Hospital Expence Mate Docter</v>
      </c>
      <c r="C37" t="str">
        <v>Miscellaneous</v>
      </c>
      <c r="D37" s="1">
        <v>2900</v>
      </c>
      <c r="E37" s="2" t="str">
        <v/>
      </c>
      <c r="F37" t="str">
        <v/>
      </c>
    </row>
    <row r="38">
      <c r="A38" t="str">
        <v>30b69ec5</v>
      </c>
      <c r="B38" t="str">
        <v>Mummy sadi</v>
      </c>
      <c r="C38" t="str">
        <v>Clothing &amp; Jewellery</v>
      </c>
      <c r="D38" s="1">
        <v>1600</v>
      </c>
      <c r="E38" s="2" t="str">
        <v/>
      </c>
      <c r="F38" t="str">
        <v/>
      </c>
    </row>
    <row r="39">
      <c r="A39" t="str">
        <v>f31def6e</v>
      </c>
      <c r="B39" t="str">
        <v>Music in reception &amp; sangit</v>
      </c>
      <c r="C39" t="str">
        <v>Music &amp; Entertainment</v>
      </c>
      <c r="D39" s="1">
        <v>13000</v>
      </c>
      <c r="E39" s="2" t="str">
        <v/>
      </c>
      <c r="F39" t="str">
        <v/>
      </c>
    </row>
    <row r="40">
      <c r="A40" t="str">
        <v>eebc3aaf</v>
      </c>
      <c r="B40" t="str">
        <v>Navkar Sales Corporation</v>
      </c>
      <c r="C40" t="str">
        <v>Food &amp; Catering</v>
      </c>
      <c r="D40" s="1">
        <v>8649</v>
      </c>
      <c r="E40" s="2" t="str">
        <v/>
      </c>
      <c r="F40" t="str">
        <v>Navkar Sales Corporation</v>
      </c>
    </row>
    <row r="41">
      <c r="A41" t="str">
        <v>e6b755dc</v>
      </c>
      <c r="B41" t="str">
        <v>New Balaji Treaders</v>
      </c>
      <c r="C41" t="str">
        <v>Food &amp; Catering</v>
      </c>
      <c r="D41" s="1">
        <v>575</v>
      </c>
      <c r="E41" s="2" t="str">
        <v/>
      </c>
      <c r="F41" t="str">
        <v>New Balaji Treaders</v>
      </c>
    </row>
    <row r="42">
      <c r="A42" t="str">
        <v>113a1c1a</v>
      </c>
      <c r="B42" t="str">
        <v>Parag bride 3 dress</v>
      </c>
      <c r="C42" t="str">
        <v>Clothing &amp; Jewellery</v>
      </c>
      <c r="D42" s="1">
        <v>5700</v>
      </c>
      <c r="E42" s="2" t="str">
        <v/>
      </c>
      <c r="F42" t="str">
        <v>bride 3 dress</v>
      </c>
    </row>
    <row r="43">
      <c r="A43" t="str">
        <v>7896f0b1</v>
      </c>
      <c r="B43" t="str">
        <v>Parag Relative 20 dressed &amp; other cloths</v>
      </c>
      <c r="C43" t="str">
        <v>Clothing &amp; Jewellery</v>
      </c>
      <c r="D43" s="1">
        <v>24000</v>
      </c>
      <c r="E43" s="2" t="str">
        <v/>
      </c>
      <c r="F43" t="str">
        <v>Parag Relative 20 dressed &amp; other cloths</v>
      </c>
    </row>
    <row r="44">
      <c r="A44" t="str">
        <v>0421ab42</v>
      </c>
      <c r="B44" t="str">
        <v>Petrol Glanza</v>
      </c>
      <c r="C44" t="str">
        <v>Miscellaneous</v>
      </c>
      <c r="D44" s="1">
        <v>4000</v>
      </c>
      <c r="E44" s="2" t="str">
        <v/>
      </c>
      <c r="F44" t="str">
        <v/>
      </c>
    </row>
    <row r="45">
      <c r="A45" t="str">
        <v>84c049af</v>
      </c>
      <c r="B45" t="str">
        <v>Petrol Glanza, Himalyan, PUC, Wheel Alingment, Engine cover Advance</v>
      </c>
      <c r="C45" t="str">
        <v>Transport</v>
      </c>
      <c r="D45" s="1">
        <v>4000</v>
      </c>
      <c r="E45" s="2" t="str">
        <v/>
      </c>
      <c r="F45" t="str">
        <v/>
      </c>
    </row>
    <row r="46">
      <c r="A46" t="str">
        <v>beb44857</v>
      </c>
      <c r="B46" t="str">
        <v>Pratap films and Photography</v>
      </c>
      <c r="C46" t="str">
        <v>Photography &amp; Video</v>
      </c>
      <c r="D46" s="1">
        <v>100000</v>
      </c>
      <c r="E46" s="2" t="str">
        <v>9021598286</v>
      </c>
      <c r="F46" t="str">
        <v>Photography cost</v>
      </c>
    </row>
    <row r="47">
      <c r="A47" t="str">
        <v>89c1b231</v>
      </c>
      <c r="B47" t="str">
        <v>Pravin Masale</v>
      </c>
      <c r="C47" t="str">
        <v>Food &amp; Catering</v>
      </c>
      <c r="D47" s="1">
        <v>3345</v>
      </c>
      <c r="E47" s="2" t="str">
        <v/>
      </c>
      <c r="F47" t="str">
        <v>Pravin Masale</v>
      </c>
    </row>
    <row r="48">
      <c r="A48" t="str">
        <v>6d180155</v>
      </c>
      <c r="B48" t="str">
        <v>Prewedding shoot expences(lunch, fuel and other)</v>
      </c>
      <c r="C48" t="str">
        <v>Miscellaneous</v>
      </c>
      <c r="D48" s="1">
        <v>11840</v>
      </c>
      <c r="E48" s="2" t="str">
        <v/>
      </c>
      <c r="F48" t="str">
        <v>Prewedding shoot expences(lunch, fuel and other)</v>
      </c>
    </row>
    <row r="49">
      <c r="A49" t="str">
        <v>d1aee56d</v>
      </c>
      <c r="B49" t="str">
        <v>Shireen Dress</v>
      </c>
      <c r="C49" t="str">
        <v>Clothing &amp; Jewellery</v>
      </c>
      <c r="D49" s="1">
        <v>2000</v>
      </c>
      <c r="E49" s="2" t="str">
        <v/>
      </c>
      <c r="F49" t="str">
        <v>Shireen Dress</v>
      </c>
    </row>
    <row r="50">
      <c r="A50" t="str">
        <v>04ece648</v>
      </c>
      <c r="B50" t="str">
        <v>Soyarik mangal karyalay</v>
      </c>
      <c r="C50" t="str">
        <v>Venue &amp; Hall</v>
      </c>
      <c r="D50" s="1">
        <v>105000</v>
      </c>
      <c r="E50" s="2" t="str">
        <v>9850444117</v>
      </c>
      <c r="F50" t="str">
        <v>venue for reception</v>
      </c>
    </row>
    <row r="51">
      <c r="A51" t="str">
        <v>bd5f8d26</v>
      </c>
      <c r="B51" t="str">
        <v>Star Bazaar - Prewedding dress</v>
      </c>
      <c r="C51" t="str">
        <v>Clothing &amp; Jewellery</v>
      </c>
      <c r="D51" s="1">
        <v>6190</v>
      </c>
      <c r="E51" s="2" t="str">
        <v/>
      </c>
      <c r="F51" t="str">
        <v>Prewedding dress</v>
      </c>
    </row>
    <row r="52">
      <c r="A52" t="str">
        <v>9b3747da</v>
      </c>
      <c r="B52" t="str">
        <v>tampo traveller</v>
      </c>
      <c r="C52" t="str">
        <v>Transport</v>
      </c>
      <c r="D52" s="1">
        <v>7500</v>
      </c>
      <c r="E52" s="2" t="str">
        <v/>
      </c>
      <c r="F52" t="str">
        <v/>
      </c>
    </row>
    <row r="53">
      <c r="A53" t="str">
        <v>db4969e8</v>
      </c>
      <c r="B53" t="str">
        <v>Tushar Traders Oil</v>
      </c>
      <c r="C53" t="str">
        <v>Food &amp; Catering</v>
      </c>
      <c r="D53" s="1">
        <v>5100</v>
      </c>
      <c r="E53" s="2" t="str">
        <v/>
      </c>
      <c r="F53" t="str">
        <v>Tushar Traders Oil</v>
      </c>
    </row>
    <row r="54">
      <c r="A54" t="str">
        <v>9961a7bb</v>
      </c>
      <c r="B54" t="str">
        <v>Untracked expenses Petrol, Food, small bills</v>
      </c>
      <c r="C54" t="str">
        <v>Miscellaneous</v>
      </c>
      <c r="D54" s="1">
        <v>9150</v>
      </c>
      <c r="E54" s="2" t="str">
        <v/>
      </c>
      <c r="F54" t="str">
        <v/>
      </c>
    </row>
  </sheetData>
  <autoFilter ref="A1:F54"/>
  <ignoredErrors>
    <ignoredError numberStoredAsText="1" sqref="A1:F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738b696a</v>
      </c>
      <c r="B68" t="str">
        <v>f31def6e</v>
      </c>
      <c r="C68" t="str">
        <v>Music in reception &amp; sangit</v>
      </c>
      <c r="D68" s="3">
        <v>46302</v>
      </c>
      <c r="E68" s="1">
        <v>13000</v>
      </c>
      <c r="F68" t="str">
        <v>Umar Sayyed (Father)</v>
      </c>
      <c r="G68" t="str">
        <v>Cash</v>
      </c>
      <c r="H68" t="str">
        <v/>
      </c>
    </row>
    <row r="69">
      <c r="A69" t="str">
        <v>da6b0ec5</v>
      </c>
      <c r="B69" t="str">
        <v>631875ca</v>
      </c>
      <c r="C69" t="str">
        <v>Day night Flower Decoration - (hall)</v>
      </c>
      <c r="D69" s="3">
        <v>46303</v>
      </c>
      <c r="E69" s="1">
        <v>33000</v>
      </c>
      <c r="F69" t="str">
        <v>Asif Sayyed (Son)</v>
      </c>
      <c r="G69" t="str">
        <v>UPI</v>
      </c>
      <c r="H69" t="str">
        <v>Payment done</v>
      </c>
    </row>
    <row r="70">
      <c r="A70" t="str">
        <v>658c49d2</v>
      </c>
      <c r="B70" t="str">
        <v>168b7bbd</v>
      </c>
      <c r="C70" t="str">
        <v>Huseni Caterers</v>
      </c>
      <c r="D70" s="3">
        <v>46303</v>
      </c>
      <c r="E70" s="1">
        <v>125000</v>
      </c>
      <c r="F70" t="str">
        <v>Umar Sayyed (Father)</v>
      </c>
      <c r="G70" t="str">
        <v>Cash</v>
      </c>
      <c r="H70" t="str">
        <v>Final payment</v>
      </c>
    </row>
    <row r="71">
      <c r="A71" t="str">
        <v>80e653df</v>
      </c>
      <c r="B71" t="str">
        <v>beb44857</v>
      </c>
      <c r="C71" t="str">
        <v>Pratap films and Photography</v>
      </c>
      <c r="D71" s="3">
        <v>46303</v>
      </c>
      <c r="E71" s="1">
        <v>30000</v>
      </c>
      <c r="F71" t="str">
        <v>Asif Sayyed (Son)</v>
      </c>
      <c r="G71" t="str">
        <v>UPI</v>
      </c>
      <c r="H71" t="str">
        <v>Second last installment</v>
      </c>
    </row>
    <row r="72">
      <c r="A72" t="str">
        <v>79cb1a7e</v>
      </c>
      <c r="B72" t="str">
        <v>22ff3fb2</v>
      </c>
      <c r="C72" t="str">
        <v>chair arrangment soyarik gardan</v>
      </c>
      <c r="D72" s="3">
        <v>46306</v>
      </c>
      <c r="E72" s="1">
        <v>1000</v>
      </c>
      <c r="F72" t="str">
        <v>Umar Sayyed (Father)</v>
      </c>
      <c r="G72" t="str">
        <v>Cash</v>
      </c>
      <c r="H72" t="str">
        <v>final payment</v>
      </c>
    </row>
    <row r="73">
      <c r="A73" t="str">
        <v>fcb3d16a</v>
      </c>
      <c r="B73" t="str">
        <v>70d7465c</v>
      </c>
      <c r="C73" t="str">
        <v>3 kg asli ghee</v>
      </c>
      <c r="D73" s="3">
        <v>46306</v>
      </c>
      <c r="E73" s="1">
        <v>1830</v>
      </c>
      <c r="F73" t="str">
        <v>Umar Sayyed (Father)</v>
      </c>
      <c r="G73" t="str">
        <v>Cash</v>
      </c>
      <c r="H73" t="str">
        <v/>
      </c>
    </row>
  </sheetData>
  <autoFilter ref="A1:H73"/>
  <ignoredErrors>
    <ignoredError numberStoredAsText="1" sqref="A1:H7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0</v>
      </c>
      <c r="E31" s="1">
        <f>C31-D31</f>
        <v>11111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Moolchand - Bride reception dress</v>
      </c>
      <c r="B33" t="str">
        <v>Clothing &amp; Jewellery</v>
      </c>
      <c r="C33" s="1">
        <v>7604</v>
      </c>
      <c r="D33" s="1">
        <f>SUMIF('Payments'!$C:$C,$A33,'Payments'!$E:$E)</f>
        <v>7604</v>
      </c>
      <c r="E33" s="1">
        <f>C33-D33</f>
        <v>0</v>
      </c>
    </row>
    <row r="34">
      <c r="A34" t="str">
        <v>Moolchand Sarees basta</v>
      </c>
      <c r="B34" t="str">
        <v>Clothing &amp; Jewellery</v>
      </c>
      <c r="C34" s="1">
        <v>24880</v>
      </c>
      <c r="D34" s="1">
        <f>SUMIF('Payments'!$C:$C,$A34,'Payments'!$E:$E)</f>
        <v>24880</v>
      </c>
      <c r="E34" s="1">
        <f>C34-D34</f>
        <v>0</v>
      </c>
    </row>
    <row r="35">
      <c r="A35" t="str">
        <v>Morya Collections - Groom wedding dress</v>
      </c>
      <c r="B35" t="str">
        <v>Clothing &amp; Jewellery</v>
      </c>
      <c r="C35" s="1">
        <v>13680</v>
      </c>
      <c r="D35" s="1">
        <f>SUMIF('Payments'!$C:$C,$A35,'Payments'!$E:$E)</f>
        <v>13680</v>
      </c>
      <c r="E35" s="1">
        <f>C35-D35</f>
        <v>0</v>
      </c>
    </row>
    <row r="36">
      <c r="A36" t="str">
        <v>Morya mojadii</v>
      </c>
      <c r="B36" t="str">
        <v>Clothing &amp; Jewellery</v>
      </c>
      <c r="C36" s="1">
        <v>400</v>
      </c>
      <c r="D36" s="1">
        <f>SUMIF('Payments'!$C:$C,$A36,'Payments'!$E:$E)</f>
        <v>400</v>
      </c>
      <c r="E36" s="1">
        <f>C36-D36</f>
        <v>0</v>
      </c>
    </row>
    <row r="37">
      <c r="A37" t="str">
        <v>Mummy Hospital Expence Mate Docter</v>
      </c>
      <c r="B37" t="str">
        <v>Miscellaneous</v>
      </c>
      <c r="C37" s="1">
        <v>2900</v>
      </c>
      <c r="D37" s="1">
        <f>SUMIF('Payments'!$C:$C,$A37,'Payments'!$E:$E)</f>
        <v>2900</v>
      </c>
      <c r="E37" s="1">
        <f>C37-D37</f>
        <v>0</v>
      </c>
    </row>
    <row r="38">
      <c r="A38" t="str">
        <v>Mummy sadi</v>
      </c>
      <c r="B38" t="str">
        <v>Clothing &amp; Jewellery</v>
      </c>
      <c r="C38" s="1">
        <v>1600</v>
      </c>
      <c r="D38" s="1">
        <f>SUMIF('Payments'!$C:$C,$A38,'Payments'!$E:$E)</f>
        <v>1600</v>
      </c>
      <c r="E38" s="1">
        <f>C38-D38</f>
        <v>0</v>
      </c>
    </row>
    <row r="39">
      <c r="A39" t="str">
        <v>Music in reception &amp; sangit</v>
      </c>
      <c r="B39" t="str">
        <v>Music &amp; Entertainment</v>
      </c>
      <c r="C39" s="1">
        <v>13000</v>
      </c>
      <c r="D39" s="1">
        <f>SUMIF('Payments'!$C:$C,$A39,'Payments'!$E:$E)</f>
        <v>13000</v>
      </c>
      <c r="E39" s="1">
        <f>C39-D39</f>
        <v>0</v>
      </c>
    </row>
    <row r="40">
      <c r="A40" t="str">
        <v>Navkar Sales Corporation</v>
      </c>
      <c r="B40" t="str">
        <v>Food &amp; Catering</v>
      </c>
      <c r="C40" s="1">
        <v>8649</v>
      </c>
      <c r="D40" s="1">
        <f>SUMIF('Payments'!$C:$C,$A40,'Payments'!$E:$E)</f>
        <v>8649</v>
      </c>
      <c r="E40" s="1">
        <f>C40-D40</f>
        <v>0</v>
      </c>
    </row>
    <row r="41">
      <c r="A41" t="str">
        <v>New Balaji Treaders</v>
      </c>
      <c r="B41" t="str">
        <v>Food &amp; Catering</v>
      </c>
      <c r="C41" s="1">
        <v>575</v>
      </c>
      <c r="D41" s="1">
        <f>SUMIF('Payments'!$C:$C,$A41,'Payments'!$E:$E)</f>
        <v>575</v>
      </c>
      <c r="E41" s="1">
        <f>C41-D41</f>
        <v>0</v>
      </c>
    </row>
    <row r="42">
      <c r="A42" t="str">
        <v>Parag bride 3 dress</v>
      </c>
      <c r="B42" t="str">
        <v>Clothing &amp; Jewellery</v>
      </c>
      <c r="C42" s="1">
        <v>5700</v>
      </c>
      <c r="D42" s="1">
        <f>SUMIF('Payments'!$C:$C,$A42,'Payments'!$E:$E)</f>
        <v>5700</v>
      </c>
      <c r="E42" s="1">
        <f>C42-D42</f>
        <v>0</v>
      </c>
    </row>
    <row r="43">
      <c r="A43" t="str">
        <v>Parag Relative 20 dressed &amp; other cloths</v>
      </c>
      <c r="B43" t="str">
        <v>Clothing &amp; Jewellery</v>
      </c>
      <c r="C43" s="1">
        <v>24000</v>
      </c>
      <c r="D43" s="1">
        <f>SUMIF('Payments'!$C:$C,$A43,'Payments'!$E:$E)</f>
        <v>24000</v>
      </c>
      <c r="E43" s="1">
        <f>C43-D43</f>
        <v>0</v>
      </c>
    </row>
    <row r="44">
      <c r="A44" t="str">
        <v>Petrol Glanza</v>
      </c>
      <c r="B44" t="str">
        <v>Miscellaneous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Petrol Glanza, Himalyan, PUC, Wheel Alingment, Engine cover Advance</v>
      </c>
      <c r="B45" t="str">
        <v>Transport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Pratap films and Photography</v>
      </c>
      <c r="B46" t="str">
        <v>Photography &amp; Video</v>
      </c>
      <c r="C46" s="1">
        <v>100000</v>
      </c>
      <c r="D46" s="1">
        <f>SUMIF('Payments'!$C:$C,$A46,'Payments'!$E:$E)</f>
        <v>70000</v>
      </c>
      <c r="E46" s="1">
        <f>C46-D46</f>
        <v>30000</v>
      </c>
    </row>
    <row r="47">
      <c r="A47" t="str">
        <v>Pravin Masale</v>
      </c>
      <c r="B47" t="str">
        <v>Food &amp; Catering</v>
      </c>
      <c r="C47" s="1">
        <v>3345</v>
      </c>
      <c r="D47" s="1">
        <f>SUMIF('Payments'!$C:$C,$A47,'Payments'!$E:$E)</f>
        <v>3345</v>
      </c>
      <c r="E47" s="1">
        <f>C47-D47</f>
        <v>0</v>
      </c>
    </row>
    <row r="48">
      <c r="A48" t="str">
        <v>Prewedding shoot expences(lunch, fuel and other)</v>
      </c>
      <c r="B48" t="str">
        <v>Miscellaneous</v>
      </c>
      <c r="C48" s="1">
        <v>11840</v>
      </c>
      <c r="D48" s="1">
        <f>SUMIF('Payments'!$C:$C,$A48,'Payments'!$E:$E)</f>
        <v>11840</v>
      </c>
      <c r="E48" s="1">
        <f>C48-D48</f>
        <v>0</v>
      </c>
    </row>
    <row r="49">
      <c r="A49" t="str">
        <v>Shireen Dress</v>
      </c>
      <c r="B49" t="str">
        <v>Clothing &amp; Jewellery</v>
      </c>
      <c r="C49" s="1">
        <v>2000</v>
      </c>
      <c r="D49" s="1">
        <f>SUMIF('Payments'!$C:$C,$A49,'Payments'!$E:$E)</f>
        <v>2000</v>
      </c>
      <c r="E49" s="1">
        <f>C49-D49</f>
        <v>0</v>
      </c>
    </row>
    <row r="50">
      <c r="A50" t="str">
        <v>Soyarik mangal karyalay</v>
      </c>
      <c r="B50" t="str">
        <v>Venue &amp; Hall</v>
      </c>
      <c r="C50" s="1">
        <v>105000</v>
      </c>
      <c r="D50" s="1">
        <f>SUMIF('Payments'!$C:$C,$A50,'Payments'!$E:$E)</f>
        <v>105000</v>
      </c>
      <c r="E50" s="1">
        <f>C50-D50</f>
        <v>0</v>
      </c>
    </row>
    <row r="51">
      <c r="A51" t="str">
        <v>Star Bazaar - Prewedding dress</v>
      </c>
      <c r="B51" t="str">
        <v>Clothing &amp; Jewellery</v>
      </c>
      <c r="C51" s="1">
        <v>6190</v>
      </c>
      <c r="D51" s="1">
        <f>SUMIF('Payments'!$C:$C,$A51,'Payments'!$E:$E)</f>
        <v>6190</v>
      </c>
      <c r="E51" s="1">
        <f>C51-D51</f>
        <v>0</v>
      </c>
    </row>
    <row r="52">
      <c r="A52" t="str">
        <v>tampo traveller</v>
      </c>
      <c r="B52" t="str">
        <v>Transport</v>
      </c>
      <c r="C52" s="1">
        <v>7500</v>
      </c>
      <c r="D52" s="1">
        <f>SUMIF('Payments'!$C:$C,$A52,'Payments'!$E:$E)</f>
        <v>7500</v>
      </c>
      <c r="E52" s="1">
        <f>C52-D52</f>
        <v>0</v>
      </c>
    </row>
    <row r="53">
      <c r="A53" t="str">
        <v>Tushar Traders Oil</v>
      </c>
      <c r="B53" t="str">
        <v>Food &amp; Catering</v>
      </c>
      <c r="C53" s="1">
        <v>5100</v>
      </c>
      <c r="D53" s="1">
        <f>SUMIF('Payments'!$C:$C,$A53,'Payments'!$E:$E)</f>
        <v>5100</v>
      </c>
      <c r="E53" s="1">
        <f>C53-D53</f>
        <v>0</v>
      </c>
    </row>
    <row r="54">
      <c r="A54" t="str">
        <v>Untracked expenses Petrol, Food, small bills</v>
      </c>
      <c r="B54" t="str">
        <v>Miscellaneous</v>
      </c>
      <c r="C54" s="1">
        <v>9150</v>
      </c>
      <c r="D54" s="1">
        <f>SUMIF('Payments'!$C:$C,$A54,'Payments'!$E:$E)</f>
        <v>9150</v>
      </c>
      <c r="E54" s="1">
        <f>C54-D54</f>
        <v>0</v>
      </c>
    </row>
    <row r="55">
      <c r="A55" t="str">
        <v>Total</v>
      </c>
      <c r="C55" s="1">
        <f>SUM(C2:C54)</f>
        <v>1299679</v>
      </c>
      <c r="D55" s="1">
        <f>SUM(D2:D54)</f>
        <v>1258568</v>
      </c>
      <c r="E55" s="1">
        <f>SUM(E2:E54)</f>
        <v>41111</v>
      </c>
    </row>
  </sheetData>
  <ignoredErrors>
    <ignoredError numberStoredAsText="1" sqref="A1:E5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