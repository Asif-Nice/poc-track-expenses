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'Budget'!A1:E5</definedName>
    <definedName name="_xlnm._FilterDatabase" localSheetId="1">'Payments'!A1:H5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4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5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Notes</v>
      </c>
    </row>
    <row r="2">
      <c r="A2" t="str">
        <v>168b7bbd</v>
      </c>
      <c r="B2" t="str">
        <v>Huseni Caterers</v>
      </c>
      <c r="C2" t="str">
        <v>Food &amp; Catering</v>
      </c>
      <c r="D2" s="1">
        <v>575000</v>
      </c>
      <c r="E2" t="str">
        <v>Reception food</v>
      </c>
    </row>
    <row r="3">
      <c r="A3" t="str">
        <v>113a1c1a</v>
      </c>
      <c r="B3" t="str">
        <v>Parag Groom 3 dress</v>
      </c>
      <c r="C3" t="str">
        <v>Clothing &amp; Jewellery</v>
      </c>
      <c r="D3" s="1">
        <v>5700</v>
      </c>
      <c r="E3" t="str">
        <v>Groom 3 dress</v>
      </c>
    </row>
    <row r="4">
      <c r="A4" t="str">
        <v>beb44857</v>
      </c>
      <c r="B4" t="str">
        <v>Pratap films and Photography</v>
      </c>
      <c r="C4" t="str">
        <v>Photography &amp; Video</v>
      </c>
      <c r="D4" s="1">
        <v>100000</v>
      </c>
      <c r="E4" t="str">
        <v>Photography cost</v>
      </c>
    </row>
    <row r="5">
      <c r="A5" t="str">
        <v>04ece648</v>
      </c>
      <c r="B5" t="str">
        <v>Soyarik mangal karyalay</v>
      </c>
      <c r="C5" t="str">
        <v>Venue &amp; Hall</v>
      </c>
      <c r="D5" s="1">
        <v>105000</v>
      </c>
      <c r="E5" t="str">
        <v>venue for reception</v>
      </c>
    </row>
  </sheetData>
  <autoFilter ref="A1:E5"/>
  <ignoredErrors>
    <ignoredError numberStoredAsText="1" sqref="A1:E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5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2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2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3aeac8ad</v>
      </c>
      <c r="B4" t="str">
        <v>168b7bbd</v>
      </c>
      <c r="C4" t="str">
        <v>Huseni Caterers</v>
      </c>
      <c r="D4" s="2">
        <v>46233</v>
      </c>
      <c r="E4" s="1">
        <v>50000</v>
      </c>
      <c r="F4" t="str">
        <v>Umar Sayyed (Father)</v>
      </c>
      <c r="G4" t="str">
        <v>Cash</v>
      </c>
      <c r="H4" t="str">
        <v>Food Advance</v>
      </c>
    </row>
    <row r="5">
      <c r="A5" t="str">
        <v>ab012a97</v>
      </c>
      <c r="B5" t="str">
        <v>113a1c1a</v>
      </c>
      <c r="C5" t="str">
        <v>Parag Groom 3 dress</v>
      </c>
      <c r="D5" s="2">
        <v>46240</v>
      </c>
      <c r="E5" s="1">
        <v>5700</v>
      </c>
      <c r="F5" t="str">
        <v>Waheeda (mother)</v>
      </c>
      <c r="G5" t="str">
        <v>UPI</v>
      </c>
      <c r="H5" t="str">
        <v>dress payment</v>
      </c>
    </row>
  </sheetData>
  <autoFilter ref="A1:H5"/>
  <ignoredErrors>
    <ignoredError numberStoredAsText="1" sqref="A1:H5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6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Huseni Caterers</v>
      </c>
      <c r="B2" t="str">
        <v>Food &amp; Catering</v>
      </c>
      <c r="C2" s="1">
        <v>575000</v>
      </c>
      <c r="D2" s="1">
        <f>SUMIF('Payments'!$C:$C,$A2,'Payments'!$E:$E)</f>
        <v>50000</v>
      </c>
      <c r="E2" s="1">
        <f>C2-D2</f>
        <v>525000</v>
      </c>
    </row>
    <row r="3">
      <c r="A3" t="str">
        <v>Parag Groom 3 dress</v>
      </c>
      <c r="B3" t="str">
        <v>Clothing &amp; Jewellery</v>
      </c>
      <c r="C3" s="1">
        <v>5700</v>
      </c>
      <c r="D3" s="1">
        <f>SUMIF('Payments'!$C:$C,$A3,'Payments'!$E:$E)</f>
        <v>5700</v>
      </c>
      <c r="E3" s="1">
        <f>C3-D3</f>
        <v>0</v>
      </c>
    </row>
    <row r="4">
      <c r="A4" t="str">
        <v>Pratap films and Photography</v>
      </c>
      <c r="B4" t="str">
        <v>Photography &amp; Video</v>
      </c>
      <c r="C4" s="1">
        <v>100000</v>
      </c>
      <c r="D4" s="1">
        <f>SUMIF('Payments'!$C:$C,$A4,'Payments'!$E:$E)</f>
        <v>10000</v>
      </c>
      <c r="E4" s="1">
        <f>C4-D4</f>
        <v>90000</v>
      </c>
    </row>
    <row r="5">
      <c r="A5" t="str">
        <v>Soyarik mangal karyalay</v>
      </c>
      <c r="B5" t="str">
        <v>Venue &amp; Hall</v>
      </c>
      <c r="C5" s="1">
        <v>105000</v>
      </c>
      <c r="D5" s="1">
        <f>SUMIF('Payments'!$C:$C,$A5,'Payments'!$E:$E)</f>
        <v>15000</v>
      </c>
      <c r="E5" s="1">
        <f>C5-D5</f>
        <v>90000</v>
      </c>
    </row>
    <row r="6">
      <c r="A6" t="str">
        <v>Total</v>
      </c>
      <c r="C6" s="1">
        <f>SUM(C2:C5)</f>
        <v>785700</v>
      </c>
      <c r="D6" s="1">
        <f>SUM(D2:D5)</f>
        <v>80700</v>
      </c>
      <c r="E6" s="1">
        <f>SUM(E2:E5)</f>
        <v>705000</v>
      </c>
    </row>
  </sheetData>
  <ignoredErrors>
    <ignoredError numberStoredAsText="1" sqref="A1:E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