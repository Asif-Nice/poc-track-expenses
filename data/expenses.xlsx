
<file path=[Content_Types].xml><?xml version="1.0" encoding="utf-8"?>
<Types xmlns="http://schemas.openxmlformats.org/package/2006/content-types" xmlns:xsd="http://www.w3.org/2001/XMLSchema" xmlns:xsi="http://www.w3.org/2001/XMLSchema-instance">
  <Default Extension="xml" ContentType="application/xml"/>
  <Default Extension="bin" ContentType="application/vnd.ms-excel.sheet.binary.macroEnabled.main"/>
  <Default Extension="vml" ContentType="application/vnd.openxmlformats-officedocument.vmlDrawing"/>
  <Default Extension="data" ContentType="application/vnd.openxmlformats-officedocument.model+data"/>
  <Default Extension="bmp" ContentType="image/bmp"/>
  <Default Extension="png" ContentType="image/png"/>
  <Default Extension="gif" ContentType="image/gif"/>
  <Default Extension="emf" ContentType="image/x-emf"/>
  <Default Extension="wmf" ContentType="image/x-wmf"/>
  <Default Extension="jpg" ContentType="image/jpeg"/>
  <Default Extension="jpeg" ContentType="image/jpeg"/>
  <Default Extension="tif" ContentType="image/tiff"/>
  <Default Extension="tiff" ContentType="image/tiff"/>
  <Default Extension="pdf" ContentType="application/pdf"/>
  <Default Extension="rels" ContentType="application/vnd.openxmlformats-package.relationships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.xml" ContentType="application/vnd.openxmlformats-officedocument.spreadsheetml.sheetMetadata+xml"/>
</Types>
</file>

<file path=_rels/.rels><?xml version="1.0" encoding="UTF-8" standalone="yes"?>
<Relationships xmlns="http://schemas.openxmlformats.org/package/2006/relationships"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workbookPr codeName="ThisWorkbook"/>
  <sheets>
    <sheet name="Budget" sheetId="1" r:id="rId1"/>
    <sheet name="Payments" sheetId="2" r:id="rId2"/>
    <sheet name="Summary" sheetId="3" r:id="rId3"/>
  </sheets>
  <definedNames>
    <definedName name="_xlnm._FilterDatabase" localSheetId="0">'Budget'!A1:F16</definedName>
    <definedName name="_xlnm._FilterDatabase" localSheetId="1">'Payments'!A1:H16</definedName>
  </definedNames>
</workbook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tyles.xml><?xml version="1.0" encoding="utf-8"?>
<styleSheet xmlns="http://schemas.openxmlformats.org/spreadsheetml/2006/main" xmlns:vt="http://schemas.openxmlformats.org/officeDocument/2006/docPropsVTypes">
  <numFmts count="2">
    <numFmt numFmtId="56" formatCode="&quot;上午/下午 &quot;hh&quot;時&quot;mm&quot;分&quot;ss&quot;秒 &quot;"/>
    <numFmt numFmtId="60" formatCode="yyyy-mm-dd"/>
  </numFmts>
  <fonts count="1">
    <font>
      <sz val="12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 applyNumberFormat="1"/>
    <xf numFmtId="4" fontId="0" fillId="0" borderId="0" xfId="0" applyNumberFormat="1"/>
    <xf numFmtId="49" fontId="0" fillId="0" borderId="0" xfId="0" applyNumberFormat="1"/>
    <xf numFmtId="60" fontId="0" fillId="0" borderId="0" xfId="0" applyNumberFormat="1"/>
  </cellXfs>
  <cellStyles count="1">
    <cellStyle name="Normal" xfId="0" builtinId="0"/>
  </cellStyles>
  <dxfs count="0"/>
  <tableStyles count="0" defaultTableStyle="TableStyleMedium9" defaultPivotStyle="PivotStyleMedium4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theme" Target="theme/theme1.xml"/><Relationship Id="rId5" Type="http://schemas.openxmlformats.org/officeDocument/2006/relationships/styles" Target="styles.xml"/><Relationship Id="rId6" Type="http://schemas.openxmlformats.org/officeDocument/2006/relationships/sheetMetadata" Target="metadata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F16"/>
  <sheetViews>
    <sheetView workbookViewId="0"/>
  </sheetViews>
  <cols>
    <col min="1" max="1" width="10.83203125" customWidth="1"/>
    <col min="2" max="2" width="30.83203125" customWidth="1"/>
    <col min="3" max="3" width="22.83203125" customWidth="1"/>
    <col min="4" max="4" width="14.83203125" customWidth="1"/>
    <col min="5" max="5" width="18.83203125" customWidth="1"/>
    <col min="6" max="6" width="34.83203125" customWidth="1"/>
  </cols>
  <sheetData>
    <row r="1">
      <c r="A1" t="str">
        <v>ID</v>
      </c>
      <c r="B1" t="str">
        <v>Item</v>
      </c>
      <c r="C1" t="str">
        <v>Category</v>
      </c>
      <c r="D1" t="str">
        <v>Estimated</v>
      </c>
      <c r="E1" t="str">
        <v>Contact</v>
      </c>
      <c r="F1" t="str">
        <v>Notes</v>
      </c>
    </row>
    <row r="2">
      <c r="A2" t="str">
        <v>bae4068a</v>
      </c>
      <c r="B2" t="str">
        <v>A S leather zone - Groom jacket</v>
      </c>
      <c r="C2" t="str">
        <v>Clothing &amp; Jewellery</v>
      </c>
      <c r="D2" s="1">
        <v>3500</v>
      </c>
      <c r="E2" s="2" t="str">
        <v>08087832131</v>
      </c>
      <c r="F2" t="str">
        <v>Groom pre wedding jacket</v>
      </c>
    </row>
    <row r="3">
      <c r="A3" t="str">
        <v>631875ca</v>
      </c>
      <c r="B3" t="str">
        <v>Day night Flower Decoration - (hall)</v>
      </c>
      <c r="C3" t="str">
        <v>Decoration</v>
      </c>
      <c r="D3" s="1">
        <v>143000</v>
      </c>
      <c r="E3" s="2" t="str">
        <v>9536673041</v>
      </c>
      <c r="F3" t="str">
        <v>Hall decoration</v>
      </c>
    </row>
    <row r="4">
      <c r="A4" t="str">
        <v>9a8449e7</v>
      </c>
      <c r="B4" t="str">
        <v>Famous Tailor - Groom Reception dress</v>
      </c>
      <c r="C4" t="str">
        <v>Clothing &amp; Jewellery</v>
      </c>
      <c r="D4" s="1">
        <v>10000</v>
      </c>
      <c r="E4" s="2" t="str">
        <v>9665012980</v>
      </c>
      <c r="F4" t="str">
        <v>Groom Reception dress</v>
      </c>
    </row>
    <row r="5">
      <c r="A5" t="str">
        <v>070f7b33</v>
      </c>
      <c r="B5" t="str">
        <v>Food at shopping time</v>
      </c>
      <c r="C5" t="str">
        <v>Miscellaneous</v>
      </c>
      <c r="D5" s="1">
        <v>2609</v>
      </c>
      <c r="E5" s="2" t="str">
        <v/>
      </c>
      <c r="F5" t="str">
        <v>Blue Nile &amp; Seasons mall</v>
      </c>
    </row>
    <row r="6">
      <c r="A6" t="str">
        <v>209d43b7</v>
      </c>
      <c r="B6" t="str">
        <v>Groom haircut and other saloon expences</v>
      </c>
      <c r="C6" t="str">
        <v>Beauty &amp; Mehendi</v>
      </c>
      <c r="D6" s="1">
        <v>500</v>
      </c>
      <c r="E6" s="2" t="str">
        <v/>
      </c>
      <c r="F6" t="str">
        <v>Groom haircut and other saloon expences</v>
      </c>
    </row>
    <row r="7">
      <c r="A7" t="str">
        <v>168b7bbd</v>
      </c>
      <c r="B7" t="str">
        <v>Huseni Caterers</v>
      </c>
      <c r="C7" t="str">
        <v>Food &amp; Catering</v>
      </c>
      <c r="D7" s="1">
        <v>575000</v>
      </c>
      <c r="E7" s="2" t="str">
        <v>9226111899</v>
      </c>
      <c r="F7" t="str">
        <v>Reception food</v>
      </c>
    </row>
    <row r="8">
      <c r="A8" t="str">
        <v>c7e8b352</v>
      </c>
      <c r="B8" t="str">
        <v>Moolchand - Bride reception dress</v>
      </c>
      <c r="C8" t="str">
        <v>Clothing &amp; Jewellery</v>
      </c>
      <c r="D8" s="1">
        <v>7604</v>
      </c>
      <c r="E8" s="2" t="str">
        <v/>
      </c>
      <c r="F8" t="str">
        <v>Bride reception dress</v>
      </c>
    </row>
    <row r="9">
      <c r="A9" t="str">
        <v>068998a3</v>
      </c>
      <c r="B9" t="str">
        <v>Morya Collections - Groom wedding dress</v>
      </c>
      <c r="C9" t="str">
        <v>Clothing &amp; Jewellery</v>
      </c>
      <c r="D9" s="1">
        <v>13680</v>
      </c>
      <c r="E9" s="2" t="str">
        <v/>
      </c>
      <c r="F9" t="str">
        <v>Groom wedding dress</v>
      </c>
    </row>
    <row r="10">
      <c r="A10" t="str">
        <v>a78dd739</v>
      </c>
      <c r="B10" t="str">
        <v>Morya mojadii</v>
      </c>
      <c r="C10" t="str">
        <v>Clothing &amp; Jewellery</v>
      </c>
      <c r="D10" s="1">
        <v>400</v>
      </c>
      <c r="E10" s="2" t="str">
        <v/>
      </c>
      <c r="F10" t="str">
        <v>Shoes</v>
      </c>
    </row>
    <row r="11">
      <c r="A11" t="str">
        <v>113a1c1a</v>
      </c>
      <c r="B11" t="str">
        <v>Parag bride 3 dress</v>
      </c>
      <c r="C11" t="str">
        <v>Clothing &amp; Jewellery</v>
      </c>
      <c r="D11" s="1">
        <v>5700</v>
      </c>
      <c r="E11" s="2" t="str">
        <v/>
      </c>
      <c r="F11" t="str">
        <v>bride 3 dress</v>
      </c>
    </row>
    <row r="12">
      <c r="A12" t="str">
        <v>beb44857</v>
      </c>
      <c r="B12" t="str">
        <v>Pratap films and Photography</v>
      </c>
      <c r="C12" t="str">
        <v>Photography &amp; Video</v>
      </c>
      <c r="D12" s="1">
        <v>100000</v>
      </c>
      <c r="E12" s="2" t="str">
        <v>9021598286</v>
      </c>
      <c r="F12" t="str">
        <v>Photography cost</v>
      </c>
    </row>
    <row r="13">
      <c r="A13" t="str">
        <v>6d180155</v>
      </c>
      <c r="B13" t="str">
        <v>Prewedding shoot expences(lunch, fuel and other)</v>
      </c>
      <c r="C13" t="str">
        <v>Miscellaneous</v>
      </c>
      <c r="D13" s="1">
        <v>11840</v>
      </c>
      <c r="E13" s="2" t="str">
        <v/>
      </c>
      <c r="F13" t="str">
        <v>Prewedding shoot expences(lunch, fuel and other)</v>
      </c>
    </row>
    <row r="14">
      <c r="A14" t="str">
        <v>18d2728f</v>
      </c>
      <c r="B14" t="str">
        <v>Sadi basta</v>
      </c>
      <c r="C14" t="str">
        <v>Clothing &amp; Jewellery</v>
      </c>
      <c r="D14" s="1">
        <v>25000</v>
      </c>
      <c r="E14" s="2" t="str">
        <v/>
      </c>
      <c r="F14" t="str">
        <v>Baste k sadiya</v>
      </c>
    </row>
    <row r="15">
      <c r="A15" t="str">
        <v>04ece648</v>
      </c>
      <c r="B15" t="str">
        <v>Soyarik mangal karyalay</v>
      </c>
      <c r="C15" t="str">
        <v>Venue &amp; Hall</v>
      </c>
      <c r="D15" s="1">
        <v>105000</v>
      </c>
      <c r="E15" s="2" t="str">
        <v>9850444117</v>
      </c>
      <c r="F15" t="str">
        <v>venue for reception</v>
      </c>
    </row>
    <row r="16">
      <c r="A16" t="str">
        <v>bd5f8d26</v>
      </c>
      <c r="B16" t="str">
        <v>Star Bazaar - Prewedding dress</v>
      </c>
      <c r="C16" t="str">
        <v>Clothing &amp; Jewellery</v>
      </c>
      <c r="D16" s="1">
        <v>6190</v>
      </c>
      <c r="E16" s="2" t="str">
        <v/>
      </c>
      <c r="F16" t="str">
        <v>Prewedding dress</v>
      </c>
    </row>
  </sheetData>
  <autoFilter ref="A1:F16"/>
  <ignoredErrors>
    <ignoredError numberStoredAsText="1" sqref="A1:F16"/>
  </ignoredErrors>
</worksheet>
</file>

<file path=xl/worksheets/sheet2.xml><?xml version="1.0" encoding="utf-8"?>
<worksheet xmlns="http://schemas.openxmlformats.org/spreadsheetml/2006/main" xmlns:r="http://schemas.openxmlformats.org/officeDocument/2006/relationships">
  <dimension ref="A1:H16"/>
  <sheetViews>
    <sheetView workbookViewId="0"/>
  </sheetViews>
  <cols>
    <col min="1" max="1" width="10.83203125" customWidth="1"/>
    <col min="2" max="2" width="10.83203125" customWidth="1"/>
    <col min="3" max="3" width="30.83203125" customWidth="1"/>
    <col min="4" max="4" width="12.83203125" customWidth="1"/>
    <col min="5" max="5" width="14.83203125" customWidth="1"/>
    <col min="6" max="6" width="22.83203125" customWidth="1"/>
    <col min="7" max="7" width="16.83203125" customWidth="1"/>
    <col min="8" max="8" width="34.83203125" customWidth="1"/>
  </cols>
  <sheetData>
    <row r="1">
      <c r="A1" t="str">
        <v>ID</v>
      </c>
      <c r="B1" t="str">
        <v>Item ID</v>
      </c>
      <c r="C1" t="str">
        <v>Item</v>
      </c>
      <c r="D1" t="str">
        <v>Date</v>
      </c>
      <c r="E1" t="str">
        <v>Amount</v>
      </c>
      <c r="F1" t="str">
        <v>Paid By</v>
      </c>
      <c r="G1" t="str">
        <v>Payment Method</v>
      </c>
      <c r="H1" t="str">
        <v>Notes</v>
      </c>
    </row>
    <row r="2">
      <c r="A2" t="str">
        <v>7e66fd41</v>
      </c>
      <c r="B2" t="str">
        <v>04ece648</v>
      </c>
      <c r="C2" t="str">
        <v>Soyarik mangal karyalay</v>
      </c>
      <c r="D2" s="3">
        <v>46179</v>
      </c>
      <c r="E2" s="1">
        <v>15000</v>
      </c>
      <c r="F2" t="str">
        <v>Asif Sayyed (Son)</v>
      </c>
      <c r="G2" t="str">
        <v>UPI</v>
      </c>
      <c r="H2" t="str">
        <v>Advance payment</v>
      </c>
    </row>
    <row r="3">
      <c r="A3" t="str">
        <v>e09d33db</v>
      </c>
      <c r="B3" t="str">
        <v>beb44857</v>
      </c>
      <c r="C3" t="str">
        <v>Pratap films and Photography</v>
      </c>
      <c r="D3" s="3">
        <v>46220</v>
      </c>
      <c r="E3" s="1">
        <v>10000</v>
      </c>
      <c r="F3" t="str">
        <v>Asif Sayyed (Son)</v>
      </c>
      <c r="G3" t="str">
        <v>UPI</v>
      </c>
      <c r="H3" t="str">
        <v>Advance payment</v>
      </c>
    </row>
    <row r="4">
      <c r="A4" t="str">
        <v>ab012a97</v>
      </c>
      <c r="B4" t="str">
        <v>113a1c1a</v>
      </c>
      <c r="C4" t="str">
        <v>Parag bride 3 dress</v>
      </c>
      <c r="D4" s="3">
        <v>46221</v>
      </c>
      <c r="E4" s="1">
        <v>5700</v>
      </c>
      <c r="F4" t="str">
        <v>Waheeda (mother)</v>
      </c>
      <c r="G4" t="str">
        <v>UPI</v>
      </c>
      <c r="H4" t="str">
        <v>dress payment</v>
      </c>
    </row>
    <row r="5">
      <c r="A5" t="str">
        <v>25d50b92</v>
      </c>
      <c r="B5" t="str">
        <v>bd5f8d26</v>
      </c>
      <c r="C5" t="str">
        <v>Star Bazaar - Prewedding dress</v>
      </c>
      <c r="D5" s="3">
        <v>46229</v>
      </c>
      <c r="E5" s="1">
        <v>6190</v>
      </c>
      <c r="F5" t="str">
        <v>Asif Sayyed (Son)</v>
      </c>
      <c r="G5" t="str">
        <v>UPI</v>
      </c>
      <c r="H5" t="str">
        <v>Prewedding dress payment</v>
      </c>
    </row>
    <row r="6">
      <c r="A6" t="str">
        <v>278bdc7e</v>
      </c>
      <c r="B6" t="str">
        <v>070f7b33</v>
      </c>
      <c r="C6" t="str">
        <v>Food at shopping time</v>
      </c>
      <c r="D6" s="3">
        <v>46229</v>
      </c>
      <c r="E6" s="1">
        <v>2609</v>
      </c>
      <c r="F6" t="str">
        <v>Asif Sayyed (Son)</v>
      </c>
      <c r="G6" t="str">
        <v>UPI</v>
      </c>
      <c r="H6" t="str">
        <v>Blue Nile and Seasons mall</v>
      </c>
    </row>
    <row r="7">
      <c r="A7" t="str">
        <v>3aeac8ad</v>
      </c>
      <c r="B7" t="str">
        <v>168b7bbd</v>
      </c>
      <c r="C7" t="str">
        <v>Huseni Caterers</v>
      </c>
      <c r="D7" s="3">
        <v>46233</v>
      </c>
      <c r="E7" s="1">
        <v>50000</v>
      </c>
      <c r="F7" t="str">
        <v>Umar Sayyed (Father)</v>
      </c>
      <c r="G7" t="str">
        <v>Cash</v>
      </c>
      <c r="H7" t="str">
        <v>Food Advance</v>
      </c>
    </row>
    <row r="8">
      <c r="A8" t="str">
        <v>60cefa3a</v>
      </c>
      <c r="B8" t="str">
        <v>c7e8b352</v>
      </c>
      <c r="C8" t="str">
        <v>Moolchand - Bride reception dress</v>
      </c>
      <c r="D8" s="3">
        <v>46233</v>
      </c>
      <c r="E8" s="1">
        <v>7604</v>
      </c>
      <c r="F8" t="str">
        <v>Asif Sayyed (Son)</v>
      </c>
      <c r="G8" t="str">
        <v>UPI</v>
      </c>
      <c r="H8" t="str">
        <v>Bride reception dress</v>
      </c>
    </row>
    <row r="9">
      <c r="A9" t="str">
        <v>2c7813c2</v>
      </c>
      <c r="B9" t="str">
        <v>068998a3</v>
      </c>
      <c r="C9" t="str">
        <v>Morya Collections - Groom wedding dress</v>
      </c>
      <c r="D9" s="3">
        <v>46233</v>
      </c>
      <c r="E9" s="1">
        <v>13680</v>
      </c>
      <c r="F9" t="str">
        <v>Asif Sayyed (Son)</v>
      </c>
      <c r="G9" t="str">
        <v>UPI</v>
      </c>
      <c r="H9" t="str">
        <v>Groom wedding dress payment</v>
      </c>
    </row>
    <row r="10">
      <c r="A10" t="str">
        <v>cdec8b54</v>
      </c>
      <c r="B10" t="str">
        <v>bae4068a</v>
      </c>
      <c r="C10" t="str">
        <v>A S leather zone - Groom jacket</v>
      </c>
      <c r="D10" s="3">
        <v>46237</v>
      </c>
      <c r="E10" s="1">
        <v>3500</v>
      </c>
      <c r="F10" t="str">
        <v>Asif Sayyed (Son)</v>
      </c>
      <c r="G10" t="str">
        <v>UPI</v>
      </c>
      <c r="H10" t="str">
        <v>groom jacket</v>
      </c>
    </row>
    <row r="11">
      <c r="A11" t="str">
        <v>8f87c8fa</v>
      </c>
      <c r="B11" t="str">
        <v>9a8449e7</v>
      </c>
      <c r="C11" t="str">
        <v>Famous Tailor - Groom Reception dress</v>
      </c>
      <c r="D11" s="3">
        <v>46240</v>
      </c>
      <c r="E11" s="1">
        <v>10000</v>
      </c>
      <c r="F11" t="str">
        <v>Asif Sayyed (Son)</v>
      </c>
      <c r="G11" t="str">
        <v>UPI</v>
      </c>
      <c r="H11" t="str">
        <v>Groom Reception dress payment</v>
      </c>
    </row>
    <row r="12">
      <c r="A12" t="str">
        <v>2564c285</v>
      </c>
      <c r="B12" t="str">
        <v>631875ca</v>
      </c>
      <c r="C12" t="str">
        <v>Day night Flower Decoration - (hall)</v>
      </c>
      <c r="D12" s="3">
        <v>46240</v>
      </c>
      <c r="E12" s="1">
        <v>15000</v>
      </c>
      <c r="F12" t="str">
        <v>Asif Sayyed (Son)</v>
      </c>
      <c r="G12" t="str">
        <v>UPI</v>
      </c>
      <c r="H12" t="str">
        <v>Advance for hall decoration</v>
      </c>
    </row>
    <row r="13">
      <c r="A13" t="str">
        <v>8ec4c02a</v>
      </c>
      <c r="B13" t="str">
        <v>a78dd739</v>
      </c>
      <c r="C13" t="str">
        <v>Morya mojadii</v>
      </c>
      <c r="D13" s="3">
        <v>46242</v>
      </c>
      <c r="E13" s="1">
        <v>400</v>
      </c>
      <c r="F13" t="str">
        <v>Asif Sayyed (Son)</v>
      </c>
      <c r="G13" t="str">
        <v>UPI</v>
      </c>
      <c r="H13" t="str">
        <v>Shoes</v>
      </c>
    </row>
    <row r="14">
      <c r="A14" t="str">
        <v>59c568fb</v>
      </c>
      <c r="B14" t="str">
        <v>209d43b7</v>
      </c>
      <c r="C14" t="str">
        <v>Groom haircut and other saloon expences</v>
      </c>
      <c r="D14" s="3">
        <v>46243</v>
      </c>
      <c r="E14" s="1">
        <v>500</v>
      </c>
      <c r="F14" t="str">
        <v>Asif Sayyed (Son)</v>
      </c>
      <c r="G14" t="str">
        <v>UPI</v>
      </c>
      <c r="H14" t="str">
        <v>Groom haircut and other saloon expences paid</v>
      </c>
    </row>
    <row r="15">
      <c r="A15" t="str">
        <v>3d083a8d</v>
      </c>
      <c r="B15" t="str">
        <v>6d180155</v>
      </c>
      <c r="C15" t="str">
        <v>Prewedding shoot expences(lunch, fuel and other)</v>
      </c>
      <c r="D15" s="3">
        <v>46244</v>
      </c>
      <c r="E15" s="1">
        <v>11840</v>
      </c>
      <c r="F15" t="str">
        <v>Asif Sayyed (Son)</v>
      </c>
      <c r="G15" t="str">
        <v>UPI</v>
      </c>
      <c r="H15" t="str">
        <v>paid Prewedding shoot expences(lunch, fuel and other)</v>
      </c>
    </row>
    <row r="16">
      <c r="A16" t="str">
        <v>bd2ed5ab</v>
      </c>
      <c r="B16" t="str">
        <v>18d2728f</v>
      </c>
      <c r="C16" t="str">
        <v>Sadi basta</v>
      </c>
      <c r="D16" s="3">
        <v>46255</v>
      </c>
      <c r="E16" s="1">
        <v>25000</v>
      </c>
      <c r="F16" t="str">
        <v>Umar Sayyed (Father)</v>
      </c>
      <c r="G16" t="str">
        <v>Debit Card</v>
      </c>
      <c r="H16" t="str">
        <v>Paid baste sadi</v>
      </c>
    </row>
  </sheetData>
  <autoFilter ref="A1:H16"/>
  <ignoredErrors>
    <ignoredError numberStoredAsText="1" sqref="A1:H16"/>
  </ignoredErrors>
</worksheet>
</file>

<file path=xl/worksheets/sheet3.xml><?xml version="1.0" encoding="utf-8"?>
<worksheet xmlns="http://schemas.openxmlformats.org/spreadsheetml/2006/main" xmlns:r="http://schemas.openxmlformats.org/officeDocument/2006/relationships">
  <dimension ref="A1:E17"/>
  <sheetViews>
    <sheetView workbookViewId="0"/>
  </sheetViews>
  <cols>
    <col min="1" max="1" width="30.83203125" customWidth="1"/>
    <col min="2" max="2" width="22.83203125" customWidth="1"/>
    <col min="3" max="3" width="14.83203125" customWidth="1"/>
    <col min="4" max="4" width="14.83203125" customWidth="1"/>
    <col min="5" max="5" width="14.83203125" customWidth="1"/>
  </cols>
  <sheetData>
    <row r="1">
      <c r="A1" t="str">
        <v>Item</v>
      </c>
      <c r="B1" t="str">
        <v>Category</v>
      </c>
      <c r="C1" t="str">
        <v>Estimated</v>
      </c>
      <c r="D1" t="str">
        <v>Paid</v>
      </c>
      <c r="E1" t="str">
        <v>Still to pay</v>
      </c>
    </row>
    <row r="2">
      <c r="A2" t="str">
        <v>A S leather zone - Groom jacket</v>
      </c>
      <c r="B2" t="str">
        <v>Clothing &amp; Jewellery</v>
      </c>
      <c r="C2" s="1">
        <v>3500</v>
      </c>
      <c r="D2" s="1">
        <f>SUMIF('Payments'!$C:$C,$A2,'Payments'!$E:$E)</f>
        <v>3500</v>
      </c>
      <c r="E2" s="1">
        <f>C2-D2</f>
        <v>0</v>
      </c>
    </row>
    <row r="3">
      <c r="A3" t="str">
        <v>Day night Flower Decoration - (hall)</v>
      </c>
      <c r="B3" t="str">
        <v>Decoration</v>
      </c>
      <c r="C3" s="1">
        <v>143000</v>
      </c>
      <c r="D3" s="1">
        <f>SUMIF('Payments'!$C:$C,$A3,'Payments'!$E:$E)</f>
        <v>15000</v>
      </c>
      <c r="E3" s="1">
        <f>C3-D3</f>
        <v>128000</v>
      </c>
    </row>
    <row r="4">
      <c r="A4" t="str">
        <v>Famous Tailor - Groom Reception dress</v>
      </c>
      <c r="B4" t="str">
        <v>Clothing &amp; Jewellery</v>
      </c>
      <c r="C4" s="1">
        <v>10000</v>
      </c>
      <c r="D4" s="1">
        <f>SUMIF('Payments'!$C:$C,$A4,'Payments'!$E:$E)</f>
        <v>10000</v>
      </c>
      <c r="E4" s="1">
        <f>C4-D4</f>
        <v>0</v>
      </c>
    </row>
    <row r="5">
      <c r="A5" t="str">
        <v>Food at shopping time</v>
      </c>
      <c r="B5" t="str">
        <v>Miscellaneous</v>
      </c>
      <c r="C5" s="1">
        <v>2609</v>
      </c>
      <c r="D5" s="1">
        <f>SUMIF('Payments'!$C:$C,$A5,'Payments'!$E:$E)</f>
        <v>2609</v>
      </c>
      <c r="E5" s="1">
        <f>C5-D5</f>
        <v>0</v>
      </c>
    </row>
    <row r="6">
      <c r="A6" t="str">
        <v>Groom haircut and other saloon expences</v>
      </c>
      <c r="B6" t="str">
        <v>Beauty &amp; Mehendi</v>
      </c>
      <c r="C6" s="1">
        <v>500</v>
      </c>
      <c r="D6" s="1">
        <f>SUMIF('Payments'!$C:$C,$A6,'Payments'!$E:$E)</f>
        <v>500</v>
      </c>
      <c r="E6" s="1">
        <f>C6-D6</f>
        <v>0</v>
      </c>
    </row>
    <row r="7">
      <c r="A7" t="str">
        <v>Huseni Caterers</v>
      </c>
      <c r="B7" t="str">
        <v>Food &amp; Catering</v>
      </c>
      <c r="C7" s="1">
        <v>575000</v>
      </c>
      <c r="D7" s="1">
        <f>SUMIF('Payments'!$C:$C,$A7,'Payments'!$E:$E)</f>
        <v>50000</v>
      </c>
      <c r="E7" s="1">
        <f>C7-D7</f>
        <v>525000</v>
      </c>
    </row>
    <row r="8">
      <c r="A8" t="str">
        <v>Moolchand - Bride reception dress</v>
      </c>
      <c r="B8" t="str">
        <v>Clothing &amp; Jewellery</v>
      </c>
      <c r="C8" s="1">
        <v>7604</v>
      </c>
      <c r="D8" s="1">
        <f>SUMIF('Payments'!$C:$C,$A8,'Payments'!$E:$E)</f>
        <v>7604</v>
      </c>
      <c r="E8" s="1">
        <f>C8-D8</f>
        <v>0</v>
      </c>
    </row>
    <row r="9">
      <c r="A9" t="str">
        <v>Morya Collections - Groom wedding dress</v>
      </c>
      <c r="B9" t="str">
        <v>Clothing &amp; Jewellery</v>
      </c>
      <c r="C9" s="1">
        <v>13680</v>
      </c>
      <c r="D9" s="1">
        <f>SUMIF('Payments'!$C:$C,$A9,'Payments'!$E:$E)</f>
        <v>13680</v>
      </c>
      <c r="E9" s="1">
        <f>C9-D9</f>
        <v>0</v>
      </c>
    </row>
    <row r="10">
      <c r="A10" t="str">
        <v>Morya mojadii</v>
      </c>
      <c r="B10" t="str">
        <v>Clothing &amp; Jewellery</v>
      </c>
      <c r="C10" s="1">
        <v>400</v>
      </c>
      <c r="D10" s="1">
        <f>SUMIF('Payments'!$C:$C,$A10,'Payments'!$E:$E)</f>
        <v>400</v>
      </c>
      <c r="E10" s="1">
        <f>C10-D10</f>
        <v>0</v>
      </c>
    </row>
    <row r="11">
      <c r="A11" t="str">
        <v>Parag bride 3 dress</v>
      </c>
      <c r="B11" t="str">
        <v>Clothing &amp; Jewellery</v>
      </c>
      <c r="C11" s="1">
        <v>5700</v>
      </c>
      <c r="D11" s="1">
        <f>SUMIF('Payments'!$C:$C,$A11,'Payments'!$E:$E)</f>
        <v>5700</v>
      </c>
      <c r="E11" s="1">
        <f>C11-D11</f>
        <v>0</v>
      </c>
    </row>
    <row r="12">
      <c r="A12" t="str">
        <v>Pratap films and Photography</v>
      </c>
      <c r="B12" t="str">
        <v>Photography &amp; Video</v>
      </c>
      <c r="C12" s="1">
        <v>100000</v>
      </c>
      <c r="D12" s="1">
        <f>SUMIF('Payments'!$C:$C,$A12,'Payments'!$E:$E)</f>
        <v>10000</v>
      </c>
      <c r="E12" s="1">
        <f>C12-D12</f>
        <v>90000</v>
      </c>
    </row>
    <row r="13">
      <c r="A13" t="str">
        <v>Prewedding shoot expences(lunch, fuel and other)</v>
      </c>
      <c r="B13" t="str">
        <v>Miscellaneous</v>
      </c>
      <c r="C13" s="1">
        <v>11840</v>
      </c>
      <c r="D13" s="1">
        <f>SUMIF('Payments'!$C:$C,$A13,'Payments'!$E:$E)</f>
        <v>11840</v>
      </c>
      <c r="E13" s="1">
        <f>C13-D13</f>
        <v>0</v>
      </c>
    </row>
    <row r="14">
      <c r="A14" t="str">
        <v>Sadi basta</v>
      </c>
      <c r="B14" t="str">
        <v>Clothing &amp; Jewellery</v>
      </c>
      <c r="C14" s="1">
        <v>25000</v>
      </c>
      <c r="D14" s="1">
        <f>SUMIF('Payments'!$C:$C,$A14,'Payments'!$E:$E)</f>
        <v>25000</v>
      </c>
      <c r="E14" s="1">
        <f>C14-D14</f>
        <v>0</v>
      </c>
    </row>
    <row r="15">
      <c r="A15" t="str">
        <v>Soyarik mangal karyalay</v>
      </c>
      <c r="B15" t="str">
        <v>Venue &amp; Hall</v>
      </c>
      <c r="C15" s="1">
        <v>105000</v>
      </c>
      <c r="D15" s="1">
        <f>SUMIF('Payments'!$C:$C,$A15,'Payments'!$E:$E)</f>
        <v>15000</v>
      </c>
      <c r="E15" s="1">
        <f>C15-D15</f>
        <v>90000</v>
      </c>
    </row>
    <row r="16">
      <c r="A16" t="str">
        <v>Star Bazaar - Prewedding dress</v>
      </c>
      <c r="B16" t="str">
        <v>Clothing &amp; Jewellery</v>
      </c>
      <c r="C16" s="1">
        <v>6190</v>
      </c>
      <c r="D16" s="1">
        <f>SUMIF('Payments'!$C:$C,$A16,'Payments'!$E:$E)</f>
        <v>6190</v>
      </c>
      <c r="E16" s="1">
        <f>C16-D16</f>
        <v>0</v>
      </c>
    </row>
    <row r="17">
      <c r="A17" t="str">
        <v>Total</v>
      </c>
      <c r="C17" s="1">
        <f>SUM(C2:C16)</f>
        <v>1010023</v>
      </c>
      <c r="D17" s="1">
        <f>SUM(D2:D16)</f>
        <v>177023</v>
      </c>
      <c r="E17" s="1">
        <f>SUM(E2:E16)</f>
        <v>833000</v>
      </c>
    </row>
  </sheetData>
  <ignoredErrors>
    <ignoredError numberStoredAsText="1" sqref="A1:E17"/>
  </ignoredError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SheetJS</Application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Budget</vt:lpstr>
      <vt:lpstr>Payments</vt:lpstr>
      <vt:lpstr>Summary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/>
</file>