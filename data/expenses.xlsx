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161000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  <row r="65">
      <c r="A65" t="str">
        <v>da6b0ec5</v>
      </c>
      <c r="B65" t="str">
        <v>631875ca</v>
      </c>
      <c r="C65" t="str">
        <v>Day night Flower Decoration - (hall)</v>
      </c>
      <c r="D65" s="3">
        <v>46303</v>
      </c>
      <c r="E65" s="1">
        <v>33000</v>
      </c>
      <c r="F65" t="str">
        <v>Asif Sayyed (Son)</v>
      </c>
      <c r="G65" t="str">
        <v>UPI</v>
      </c>
      <c r="H65" t="str">
        <v>Payment done</v>
      </c>
    </row>
    <row r="66">
      <c r="A66" t="str">
        <v>658c49d2</v>
      </c>
      <c r="B66" t="str">
        <v>168b7bbd</v>
      </c>
      <c r="C66" t="str">
        <v>Huseni Caterers</v>
      </c>
      <c r="D66" s="3">
        <v>46303</v>
      </c>
      <c r="E66" s="1">
        <v>125000</v>
      </c>
      <c r="F66" t="str">
        <v>Umar Sayyed (Father)</v>
      </c>
      <c r="G66" t="str">
        <v>Cash</v>
      </c>
      <c r="H66" t="str">
        <v>Final payment</v>
      </c>
    </row>
  </sheetData>
  <autoFilter ref="A1:H66"/>
  <ignoredErrors>
    <ignoredError numberStoredAsText="1" sqref="A1:H6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161000</v>
      </c>
      <c r="D17" s="1">
        <f>SUMIF('Payments'!$C:$C,$A17,'Payments'!$E:$E)</f>
        <v>161000</v>
      </c>
      <c r="E17" s="1">
        <f>C17-D17</f>
        <v>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39000</v>
      </c>
      <c r="E21" s="1">
        <f>C21-D21</f>
        <v>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575000</v>
      </c>
      <c r="E24" s="1">
        <f>C24-D24</f>
        <v>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1233738</v>
      </c>
      <c r="D50" s="1">
        <f>SUM(D2:D49)</f>
        <v>1172238</v>
      </c>
      <c r="E50" s="1">
        <f>SUM(E2:E49)</f>
        <v>61500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