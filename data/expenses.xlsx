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'Budget'!A1:F44</definedName>
    <definedName name="_xlnm._FilterDatabase" localSheetId="1">'Payments'!A1:H47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44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bae4068a</v>
      </c>
      <c r="B5" t="str">
        <v>A S leather zone - Groom jacket</v>
      </c>
      <c r="C5" t="str">
        <v>Clothing &amp; Jewellery</v>
      </c>
      <c r="D5" s="1">
        <v>3500</v>
      </c>
      <c r="E5" s="2" t="str">
        <v>08087832131</v>
      </c>
      <c r="F5" t="str">
        <v>Groom pre wedding jacket</v>
      </c>
    </row>
    <row r="6">
      <c r="A6" t="str">
        <v>aaedf833</v>
      </c>
      <c r="B6" t="str">
        <v>Aluminum Shop Partition</v>
      </c>
      <c r="C6" t="str">
        <v>Miscellaneous</v>
      </c>
      <c r="D6" s="1">
        <v>23000</v>
      </c>
      <c r="E6" s="2" t="str">
        <v>8446627171</v>
      </c>
      <c r="F6" t="str">
        <v>Aluminum Shop Partition</v>
      </c>
    </row>
    <row r="7">
      <c r="A7" t="str">
        <v>985ce939</v>
      </c>
      <c r="B7" t="str">
        <v>Arbiya &amp; Didi Sangle</v>
      </c>
      <c r="C7" t="str">
        <v>Clothing &amp; Jewellery</v>
      </c>
      <c r="D7" s="1">
        <v>1300</v>
      </c>
      <c r="E7" s="2" t="str">
        <v/>
      </c>
      <c r="F7" t="str">
        <v>Arbiya &amp; Didi Sangle</v>
      </c>
    </row>
    <row r="8">
      <c r="A8" t="str">
        <v>a036f9f7</v>
      </c>
      <c r="B8" t="str">
        <v>Arbiya Bangals</v>
      </c>
      <c r="C8" t="str">
        <v>Clothing &amp; Jewellery</v>
      </c>
      <c r="D8" s="1">
        <v>550</v>
      </c>
      <c r="E8" s="2" t="str">
        <v/>
      </c>
      <c r="F8" t="str">
        <v>Arbiya Bangals</v>
      </c>
    </row>
    <row r="9">
      <c r="A9" t="str">
        <v>f68b08a7</v>
      </c>
      <c r="B9" t="str">
        <v>Asif Radimant dress, jokey inner ware, white tighty, sliper</v>
      </c>
      <c r="C9" t="str">
        <v>Clothing &amp; Jewellery</v>
      </c>
      <c r="D9" s="1">
        <v>7100</v>
      </c>
      <c r="E9" s="2" t="str">
        <v/>
      </c>
      <c r="F9" t="str">
        <v/>
      </c>
    </row>
    <row r="10">
      <c r="A10" t="str">
        <v>0e8bf89b</v>
      </c>
      <c r="B10" t="str">
        <v>Bari ka saman</v>
      </c>
      <c r="C10" t="str">
        <v>Gifts &amp; Return Gifts</v>
      </c>
      <c r="D10" s="1">
        <v>2200</v>
      </c>
      <c r="E10" s="2" t="str">
        <v/>
      </c>
      <c r="F10" t="str">
        <v>Bari ka saman</v>
      </c>
    </row>
    <row r="11">
      <c r="A11" t="str">
        <v>1aa31869</v>
      </c>
      <c r="B11" t="str">
        <v>Bhavesh Treaders (karele &amp; javas)</v>
      </c>
      <c r="C11" t="str">
        <v>Food &amp; Catering</v>
      </c>
      <c r="D11" s="1">
        <v>270</v>
      </c>
      <c r="E11" s="2" t="str">
        <v/>
      </c>
      <c r="F11" t="str">
        <v>Bhavesh Treaders (karele &amp; javas)</v>
      </c>
    </row>
    <row r="12">
      <c r="A12" t="str">
        <v>0beedebe</v>
      </c>
      <c r="B12" t="str">
        <v>Bhavesh Treaders (kirana)</v>
      </c>
      <c r="C12" t="str">
        <v>Food &amp; Catering</v>
      </c>
      <c r="D12" s="1">
        <v>4600</v>
      </c>
      <c r="E12" s="2" t="str">
        <v/>
      </c>
      <c r="F12" t="str">
        <v>Bhavesh Treaders (kirana)</v>
      </c>
    </row>
    <row r="13">
      <c r="A13" t="str">
        <v>2a74d868</v>
      </c>
      <c r="B13" t="str">
        <v>Colour &amp; plumber</v>
      </c>
      <c r="C13" t="str">
        <v>Miscellaneous</v>
      </c>
      <c r="D13" s="1">
        <v>800</v>
      </c>
      <c r="E13" s="2" t="str">
        <v/>
      </c>
      <c r="F13" t="str">
        <v/>
      </c>
    </row>
    <row r="14">
      <c r="A14" t="str">
        <v>05d27deb</v>
      </c>
      <c r="B14" t="str">
        <v>Cream House Lunch</v>
      </c>
      <c r="C14" t="str">
        <v>Food &amp; Catering</v>
      </c>
      <c r="D14" s="1">
        <v>1124</v>
      </c>
      <c r="E14" s="2" t="str">
        <v/>
      </c>
      <c r="F14" t="str">
        <v>Cream House Lunch</v>
      </c>
    </row>
    <row r="15">
      <c r="A15" t="str">
        <v>631875ca</v>
      </c>
      <c r="B15" t="str">
        <v>Day night Flower Decoration - (hall)</v>
      </c>
      <c r="C15" t="str">
        <v>Decoration</v>
      </c>
      <c r="D15" s="1">
        <v>143000</v>
      </c>
      <c r="E15" s="2" t="str">
        <v>9536673041</v>
      </c>
      <c r="F15" t="str">
        <v>Hall decoration</v>
      </c>
    </row>
    <row r="16">
      <c r="A16" t="str">
        <v>d5fe8bfd</v>
      </c>
      <c r="B16" t="str">
        <v>Famous cotton- Pathani 9</v>
      </c>
      <c r="C16" t="str">
        <v>Clothing &amp; Jewellery</v>
      </c>
      <c r="D16" s="1">
        <v>12150</v>
      </c>
      <c r="E16" s="2" t="str">
        <v/>
      </c>
      <c r="F16" t="str">
        <v>Famous cotton- Pathani 9</v>
      </c>
    </row>
    <row r="17">
      <c r="A17" t="str">
        <v>9a8449e7</v>
      </c>
      <c r="B17" t="str">
        <v>Famous Tailor - Groom Reception dress</v>
      </c>
      <c r="C17" t="str">
        <v>Clothing &amp; Jewellery</v>
      </c>
      <c r="D17" s="1">
        <v>10000</v>
      </c>
      <c r="E17" s="2" t="str">
        <v>9665012980</v>
      </c>
      <c r="F17" t="str">
        <v>Groom Reception dress</v>
      </c>
    </row>
    <row r="18">
      <c r="A18" t="str">
        <v>070f7b33</v>
      </c>
      <c r="B18" t="str">
        <v>Food at shopping time</v>
      </c>
      <c r="C18" t="str">
        <v>Miscellaneous</v>
      </c>
      <c r="D18" s="1">
        <v>2609</v>
      </c>
      <c r="E18" s="2" t="str">
        <v/>
      </c>
      <c r="F18" t="str">
        <v>Blue Nile &amp; Seasons mall</v>
      </c>
    </row>
    <row r="19">
      <c r="A19" t="str">
        <v>766bfdf7</v>
      </c>
      <c r="B19" t="str">
        <v>Garva Biryani, hardware expense, flower</v>
      </c>
      <c r="C19" t="str">
        <v>Miscellaneous</v>
      </c>
      <c r="D19" s="1">
        <v>410</v>
      </c>
      <c r="E19" s="2" t="str">
        <v/>
      </c>
      <c r="F19" t="str">
        <v/>
      </c>
    </row>
    <row r="20">
      <c r="A20" t="str">
        <v>209d43b7</v>
      </c>
      <c r="B20" t="str">
        <v>Groom haircut and other saloon expences</v>
      </c>
      <c r="C20" t="str">
        <v>Beauty &amp; Mehendi</v>
      </c>
      <c r="D20" s="1">
        <v>500</v>
      </c>
      <c r="E20" s="2" t="str">
        <v/>
      </c>
      <c r="F20" t="str">
        <v>Groom haircut and other saloon expences</v>
      </c>
    </row>
    <row r="21">
      <c r="A21" t="str">
        <v>168b7bbd</v>
      </c>
      <c r="B21" t="str">
        <v>Huseni Caterers</v>
      </c>
      <c r="C21" t="str">
        <v>Food &amp; Catering</v>
      </c>
      <c r="D21" s="1">
        <v>575000</v>
      </c>
      <c r="E21" s="2" t="str">
        <v>9226111899</v>
      </c>
      <c r="F21" t="str">
        <v>Reception food</v>
      </c>
    </row>
    <row r="22">
      <c r="A22" t="str">
        <v>dc70b2a1</v>
      </c>
      <c r="B22" t="str">
        <v>Ice Cream, vada pav, Irani Cafe, Milk</v>
      </c>
      <c r="C22" t="str">
        <v>Food &amp; Catering</v>
      </c>
      <c r="D22" s="1">
        <v>3000</v>
      </c>
      <c r="E22" s="2" t="str">
        <v/>
      </c>
      <c r="F22" t="str">
        <v>internal expense</v>
      </c>
    </row>
    <row r="23">
      <c r="A23" t="str">
        <v>aa710190</v>
      </c>
      <c r="B23" t="str">
        <v>Invitation Card (Shubham)</v>
      </c>
      <c r="C23" t="str">
        <v>Invitations &amp; Printing</v>
      </c>
      <c r="D23" s="1">
        <v>1500</v>
      </c>
      <c r="E23" s="2" t="str">
        <v>7385125161</v>
      </c>
      <c r="F23" t="str">
        <v>Invitation Card (Shubham)  100</v>
      </c>
    </row>
    <row r="24">
      <c r="A24" t="str">
        <v>1e95c55a</v>
      </c>
      <c r="B24" t="str">
        <v>Invitation Card (treaditional)</v>
      </c>
      <c r="C24" t="str">
        <v>Invitations &amp; Printing</v>
      </c>
      <c r="D24" s="1">
        <v>3675</v>
      </c>
      <c r="E24" s="2" t="str">
        <v>9890326266</v>
      </c>
      <c r="F24" t="str">
        <v>Invitation Card (treaditional)</v>
      </c>
    </row>
    <row r="25">
      <c r="A25" t="str">
        <v>c7e8b352</v>
      </c>
      <c r="B25" t="str">
        <v>Moolchand - Bride reception dress</v>
      </c>
      <c r="C25" t="str">
        <v>Clothing &amp; Jewellery</v>
      </c>
      <c r="D25" s="1">
        <v>7604</v>
      </c>
      <c r="E25" s="2" t="str">
        <v/>
      </c>
      <c r="F25" t="str">
        <v>Bride reception dress</v>
      </c>
    </row>
    <row r="26">
      <c r="A26" t="str">
        <v>2c67b679</v>
      </c>
      <c r="B26" t="str">
        <v>Moolchand Sarees basta</v>
      </c>
      <c r="C26" t="str">
        <v>Clothing &amp; Jewellery</v>
      </c>
      <c r="D26" s="1">
        <v>24880</v>
      </c>
      <c r="E26" s="2" t="str">
        <v/>
      </c>
      <c r="F26" t="str">
        <v>Moolchand Sarees for basta</v>
      </c>
    </row>
    <row r="27">
      <c r="A27" t="str">
        <v>068998a3</v>
      </c>
      <c r="B27" t="str">
        <v>Morya Collections - Groom wedding dress</v>
      </c>
      <c r="C27" t="str">
        <v>Clothing &amp; Jewellery</v>
      </c>
      <c r="D27" s="1">
        <v>13680</v>
      </c>
      <c r="E27" s="2" t="str">
        <v/>
      </c>
      <c r="F27" t="str">
        <v>Groom wedding dress</v>
      </c>
    </row>
    <row r="28">
      <c r="A28" t="str">
        <v>a78dd739</v>
      </c>
      <c r="B28" t="str">
        <v>Morya mojadii</v>
      </c>
      <c r="C28" t="str">
        <v>Clothing &amp; Jewellery</v>
      </c>
      <c r="D28" s="1">
        <v>400</v>
      </c>
      <c r="E28" s="2" t="str">
        <v/>
      </c>
      <c r="F28" t="str">
        <v>Shoes</v>
      </c>
    </row>
    <row r="29">
      <c r="A29" t="str">
        <v>b1e7073e</v>
      </c>
      <c r="B29" t="str">
        <v>Mummy Hospital Expence Mate Docter</v>
      </c>
      <c r="C29" t="str">
        <v>Miscellaneous</v>
      </c>
      <c r="D29" s="1">
        <v>2900</v>
      </c>
      <c r="E29" s="2" t="str">
        <v/>
      </c>
      <c r="F29" t="str">
        <v/>
      </c>
    </row>
    <row r="30">
      <c r="A30" t="str">
        <v>30b69ec5</v>
      </c>
      <c r="B30" t="str">
        <v>Mummy sadi</v>
      </c>
      <c r="C30" t="str">
        <v>Clothing &amp; Jewellery</v>
      </c>
      <c r="D30" s="1">
        <v>1600</v>
      </c>
      <c r="E30" s="2" t="str">
        <v/>
      </c>
      <c r="F30" t="str">
        <v/>
      </c>
    </row>
    <row r="31">
      <c r="A31" t="str">
        <v>eebc3aaf</v>
      </c>
      <c r="B31" t="str">
        <v>Navkar Sales Corporation</v>
      </c>
      <c r="C31" t="str">
        <v>Food &amp; Catering</v>
      </c>
      <c r="D31" s="1">
        <v>8649</v>
      </c>
      <c r="E31" s="2" t="str">
        <v/>
      </c>
      <c r="F31" t="str">
        <v>Navkar Sales Corporation</v>
      </c>
    </row>
    <row r="32">
      <c r="A32" t="str">
        <v>e6b755dc</v>
      </c>
      <c r="B32" t="str">
        <v>New Balaji Treaders</v>
      </c>
      <c r="C32" t="str">
        <v>Food &amp; Catering</v>
      </c>
      <c r="D32" s="1">
        <v>575</v>
      </c>
      <c r="E32" s="2" t="str">
        <v/>
      </c>
      <c r="F32" t="str">
        <v>New Balaji Treaders</v>
      </c>
    </row>
    <row r="33">
      <c r="A33" t="str">
        <v>113a1c1a</v>
      </c>
      <c r="B33" t="str">
        <v>Parag bride 3 dress</v>
      </c>
      <c r="C33" t="str">
        <v>Clothing &amp; Jewellery</v>
      </c>
      <c r="D33" s="1">
        <v>5700</v>
      </c>
      <c r="E33" s="2" t="str">
        <v/>
      </c>
      <c r="F33" t="str">
        <v>bride 3 dress</v>
      </c>
    </row>
    <row r="34">
      <c r="A34" t="str">
        <v>7896f0b1</v>
      </c>
      <c r="B34" t="str">
        <v>Parag Relative 20 dressed &amp; other cloths</v>
      </c>
      <c r="C34" t="str">
        <v>Clothing &amp; Jewellery</v>
      </c>
      <c r="D34" s="1">
        <v>24000</v>
      </c>
      <c r="E34" s="2" t="str">
        <v/>
      </c>
      <c r="F34" t="str">
        <v>Parag Relative 20 dressed &amp; other cloths</v>
      </c>
    </row>
    <row r="35">
      <c r="A35" t="str">
        <v>0421ab42</v>
      </c>
      <c r="B35" t="str">
        <v>Petrol Glanza</v>
      </c>
      <c r="C35" t="str">
        <v>Miscellaneous</v>
      </c>
      <c r="D35" s="1">
        <v>4000</v>
      </c>
      <c r="E35" s="2" t="str">
        <v/>
      </c>
      <c r="F35" t="str">
        <v/>
      </c>
    </row>
    <row r="36">
      <c r="A36" t="str">
        <v>84c049af</v>
      </c>
      <c r="B36" t="str">
        <v>Petrol Glanza, Himalyan, PUC, Wheel Alingment, Engine cover Advance</v>
      </c>
      <c r="C36" t="str">
        <v>Transport</v>
      </c>
      <c r="D36" s="1">
        <v>4000</v>
      </c>
      <c r="E36" s="2" t="str">
        <v/>
      </c>
      <c r="F36" t="str">
        <v/>
      </c>
    </row>
    <row r="37">
      <c r="A37" t="str">
        <v>beb44857</v>
      </c>
      <c r="B37" t="str">
        <v>Pratap films and Photography</v>
      </c>
      <c r="C37" t="str">
        <v>Photography &amp; Video</v>
      </c>
      <c r="D37" s="1">
        <v>100000</v>
      </c>
      <c r="E37" s="2" t="str">
        <v>9021598286</v>
      </c>
      <c r="F37" t="str">
        <v>Photography cost</v>
      </c>
    </row>
    <row r="38">
      <c r="A38" t="str">
        <v>89c1b231</v>
      </c>
      <c r="B38" t="str">
        <v>Pravin Masale</v>
      </c>
      <c r="C38" t="str">
        <v>Food &amp; Catering</v>
      </c>
      <c r="D38" s="1">
        <v>3345</v>
      </c>
      <c r="E38" s="2" t="str">
        <v/>
      </c>
      <c r="F38" t="str">
        <v>Pravin Masale</v>
      </c>
    </row>
    <row r="39">
      <c r="A39" t="str">
        <v>6d180155</v>
      </c>
      <c r="B39" t="str">
        <v>Prewedding shoot expences(lunch, fuel and other)</v>
      </c>
      <c r="C39" t="str">
        <v>Miscellaneous</v>
      </c>
      <c r="D39" s="1">
        <v>11840</v>
      </c>
      <c r="E39" s="2" t="str">
        <v/>
      </c>
      <c r="F39" t="str">
        <v>Prewedding shoot expences(lunch, fuel and other)</v>
      </c>
    </row>
    <row r="40">
      <c r="A40" t="str">
        <v>d1aee56d</v>
      </c>
      <c r="B40" t="str">
        <v>Shireen Dress</v>
      </c>
      <c r="C40" t="str">
        <v>Clothing &amp; Jewellery</v>
      </c>
      <c r="D40" s="1">
        <v>2000</v>
      </c>
      <c r="E40" s="2" t="str">
        <v/>
      </c>
      <c r="F40" t="str">
        <v>Shireen Dress</v>
      </c>
    </row>
    <row r="41">
      <c r="A41" t="str">
        <v>04ece648</v>
      </c>
      <c r="B41" t="str">
        <v>Soyarik mangal karyalay</v>
      </c>
      <c r="C41" t="str">
        <v>Venue &amp; Hall</v>
      </c>
      <c r="D41" s="1">
        <v>105000</v>
      </c>
      <c r="E41" s="2" t="str">
        <v>9850444117</v>
      </c>
      <c r="F41" t="str">
        <v>venue for reception</v>
      </c>
    </row>
    <row r="42">
      <c r="A42" t="str">
        <v>bd5f8d26</v>
      </c>
      <c r="B42" t="str">
        <v>Star Bazaar - Prewedding dress</v>
      </c>
      <c r="C42" t="str">
        <v>Clothing &amp; Jewellery</v>
      </c>
      <c r="D42" s="1">
        <v>6190</v>
      </c>
      <c r="E42" s="2" t="str">
        <v/>
      </c>
      <c r="F42" t="str">
        <v>Prewedding dress</v>
      </c>
    </row>
    <row r="43">
      <c r="A43" t="str">
        <v>db4969e8</v>
      </c>
      <c r="B43" t="str">
        <v>Tushar Traders Oil</v>
      </c>
      <c r="C43" t="str">
        <v>Food &amp; Catering</v>
      </c>
      <c r="D43" s="1">
        <v>5100</v>
      </c>
      <c r="E43" s="2" t="str">
        <v/>
      </c>
      <c r="F43" t="str">
        <v>Tushar Traders Oil</v>
      </c>
    </row>
    <row r="44">
      <c r="A44" t="str">
        <v>9961a7bb</v>
      </c>
      <c r="B44" t="str">
        <v>Untracked expenses Petrol, Food, small bills</v>
      </c>
      <c r="C44" t="str">
        <v>Miscellaneous</v>
      </c>
      <c r="D44" s="1">
        <v>9150</v>
      </c>
      <c r="E44" s="2" t="str">
        <v/>
      </c>
      <c r="F44" t="str">
        <v/>
      </c>
    </row>
  </sheetData>
  <autoFilter ref="A1:F44"/>
  <ignoredErrors>
    <ignoredError numberStoredAsText="1" sqref="A1:F44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47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762c8b3b</v>
      </c>
      <c r="B16" t="str">
        <v>2c67b679</v>
      </c>
      <c r="C16" t="str">
        <v>Moolchand Sarees basta</v>
      </c>
      <c r="D16" s="3">
        <v>46255</v>
      </c>
      <c r="E16" s="1">
        <v>24880</v>
      </c>
      <c r="F16" t="str">
        <v>Umar Sayyed (Father)</v>
      </c>
      <c r="G16" t="str">
        <v>Debit Card</v>
      </c>
      <c r="H16" t="str">
        <v>Moolchand Sarees basta paid</v>
      </c>
    </row>
    <row r="17">
      <c r="A17" t="str">
        <v>d478d6d7</v>
      </c>
      <c r="B17" t="str">
        <v>1e95c55a</v>
      </c>
      <c r="C17" t="str">
        <v>Invitation Card (treaditional)</v>
      </c>
      <c r="D17" s="3">
        <v>46256</v>
      </c>
      <c r="E17" s="1">
        <v>3675</v>
      </c>
      <c r="F17" t="str">
        <v>Asif Sayyed (Son)</v>
      </c>
      <c r="G17" t="str">
        <v>UPI</v>
      </c>
      <c r="H17" t="str">
        <v>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  <row r="21">
      <c r="A21" t="str">
        <v>79903b8b</v>
      </c>
      <c r="B21" t="str">
        <v>7e3ae131</v>
      </c>
      <c r="C21" t="str">
        <v>(Mumbai Textile &amp; Parag) Bade Abba, Anis, Navshad &amp; Salima Dress</v>
      </c>
      <c r="D21" s="3">
        <v>46257</v>
      </c>
      <c r="E21" s="1">
        <v>4080</v>
      </c>
      <c r="F21" t="str">
        <v>Waheeda (mother)</v>
      </c>
      <c r="G21" t="str">
        <v>UPI</v>
      </c>
      <c r="H21" t="str">
        <v>(Mumbai Textile &amp; Parag) Bade Abba, Anis, Navshad &amp; Salima Dress paid</v>
      </c>
    </row>
    <row r="22">
      <c r="A22" t="str">
        <v>109c6f27</v>
      </c>
      <c r="B22" t="str">
        <v>4e1fe7bf</v>
      </c>
      <c r="C22" t="str">
        <v>(Famous &amp; Libas Tailor)Silaee for Abba, Didi, Asif &amp; irfan Bhaijan</v>
      </c>
      <c r="D22" s="3">
        <v>46257</v>
      </c>
      <c r="E22" s="1">
        <v>1000</v>
      </c>
      <c r="F22" t="str">
        <v>Umar Sayyed (Father)</v>
      </c>
      <c r="G22" t="str">
        <v>Cash</v>
      </c>
      <c r="H22" t="str">
        <v>advance</v>
      </c>
    </row>
    <row r="23">
      <c r="A23" t="str">
        <v>b5b081de</v>
      </c>
      <c r="B23" t="str">
        <v>1bb495b6</v>
      </c>
      <c r="C23" t="str">
        <v>23 Aug Basta lunch at Shahidawat</v>
      </c>
      <c r="D23" s="3">
        <v>46257</v>
      </c>
      <c r="E23" s="1">
        <v>2545</v>
      </c>
      <c r="F23" t="str">
        <v>Asif Sayyed (Son)</v>
      </c>
      <c r="G23" t="str">
        <v>UPI</v>
      </c>
      <c r="H23" t="str">
        <v>23 Aug Basta lunch paid</v>
      </c>
    </row>
    <row r="24">
      <c r="A24" t="str">
        <v>de8adadf</v>
      </c>
      <c r="B24" t="str">
        <v>a036f9f7</v>
      </c>
      <c r="C24" t="str">
        <v>Arbiya Bangals</v>
      </c>
      <c r="D24" s="3">
        <v>46257</v>
      </c>
      <c r="E24" s="1">
        <v>550</v>
      </c>
      <c r="F24" t="str">
        <v>Asif Sayyed (Son)</v>
      </c>
      <c r="G24" t="str">
        <v>UPI</v>
      </c>
      <c r="H24" t="str">
        <v>Bangal</v>
      </c>
    </row>
    <row r="25">
      <c r="A25" t="str">
        <v>c3d399da</v>
      </c>
      <c r="B25" t="str">
        <v>985ce939</v>
      </c>
      <c r="C25" t="str">
        <v>Arbiya &amp; Didi Sangle</v>
      </c>
      <c r="D25" s="3">
        <v>46257</v>
      </c>
      <c r="E25" s="1">
        <v>1300</v>
      </c>
      <c r="F25" t="str">
        <v>Waheeda (mother)</v>
      </c>
      <c r="G25" t="str">
        <v>Cash</v>
      </c>
      <c r="H25" t="str">
        <v>Arbiya &amp; Didi Sangle</v>
      </c>
    </row>
    <row r="26">
      <c r="A26" t="str">
        <v>dccde075</v>
      </c>
      <c r="B26" t="str">
        <v>0e8bf89b</v>
      </c>
      <c r="C26" t="str">
        <v>Bari ka saman</v>
      </c>
      <c r="D26" s="3">
        <v>46259</v>
      </c>
      <c r="E26" s="1">
        <v>2200</v>
      </c>
      <c r="F26" t="str">
        <v>Umar Sayyed (Father)</v>
      </c>
      <c r="G26" t="str">
        <v>Cash</v>
      </c>
      <c r="H26" t="str">
        <v>paid</v>
      </c>
    </row>
    <row r="27">
      <c r="A27" t="str">
        <v>3c9c77ed</v>
      </c>
      <c r="B27" t="str">
        <v>0421ab42</v>
      </c>
      <c r="C27" t="str">
        <v>Petrol Glanza</v>
      </c>
      <c r="D27" s="3">
        <v>46261</v>
      </c>
      <c r="E27" s="1">
        <v>4000</v>
      </c>
      <c r="F27" t="str">
        <v>Umar Sayyed (Father)</v>
      </c>
      <c r="G27" t="str">
        <v>Debit Card</v>
      </c>
      <c r="H27" t="str">
        <v>Petrol Paid</v>
      </c>
    </row>
    <row r="28">
      <c r="A28" t="str">
        <v>6d30e094</v>
      </c>
      <c r="B28" t="str">
        <v>aa710190</v>
      </c>
      <c r="C28" t="str">
        <v>Invitation Card (Shubham)</v>
      </c>
      <c r="D28" s="3">
        <v>46262</v>
      </c>
      <c r="E28" s="1">
        <v>1500</v>
      </c>
      <c r="F28" t="str">
        <v>Asif Sayyed (Son)</v>
      </c>
      <c r="G28" t="str">
        <v>UPI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  <row r="30">
      <c r="A30" t="str">
        <v>c9cf6d4a</v>
      </c>
      <c r="B30" t="str">
        <v>db4969e8</v>
      </c>
      <c r="C30" t="str">
        <v>Tushar Traders Oil</v>
      </c>
      <c r="D30" s="3">
        <v>46263</v>
      </c>
      <c r="E30" s="1">
        <v>5100</v>
      </c>
      <c r="F30" t="str">
        <v>Asif Sayyed (Son)</v>
      </c>
      <c r="G30" t="str">
        <v>UPI</v>
      </c>
      <c r="H30" t="str">
        <v>paid</v>
      </c>
    </row>
    <row r="31">
      <c r="A31" t="str">
        <v>9c9ac50b</v>
      </c>
      <c r="B31" t="str">
        <v>0beedebe</v>
      </c>
      <c r="C31" t="str">
        <v>Bhavesh Treaders (kirana)</v>
      </c>
      <c r="D31" s="3">
        <v>46263</v>
      </c>
      <c r="E31" s="1">
        <v>4600</v>
      </c>
      <c r="F31" t="str">
        <v>Asif Sayyed (Son)</v>
      </c>
      <c r="G31" t="str">
        <v>UPI</v>
      </c>
      <c r="H31" t="str">
        <v>Bhavesh Treaders (kirana) paid</v>
      </c>
    </row>
    <row r="32">
      <c r="A32" t="str">
        <v>cda2807c</v>
      </c>
      <c r="B32" t="str">
        <v>e6b755dc</v>
      </c>
      <c r="C32" t="str">
        <v>New Balaji Treaders</v>
      </c>
      <c r="D32" s="3">
        <v>46263</v>
      </c>
      <c r="E32" s="1">
        <v>575</v>
      </c>
      <c r="F32" t="str">
        <v>Asif Sayyed (Son)</v>
      </c>
      <c r="G32" t="str">
        <v>UPI</v>
      </c>
      <c r="H32" t="str">
        <v>paid</v>
      </c>
    </row>
    <row r="33">
      <c r="A33" t="str">
        <v>62d1ce54</v>
      </c>
      <c r="B33" t="str">
        <v>89c1b231</v>
      </c>
      <c r="C33" t="str">
        <v>Pravin Masale</v>
      </c>
      <c r="D33" s="3">
        <v>46263</v>
      </c>
      <c r="E33" s="1">
        <v>3345</v>
      </c>
      <c r="F33" t="str">
        <v>Asif Sayyed (Son)</v>
      </c>
      <c r="G33" t="str">
        <v>UPI</v>
      </c>
      <c r="H33" t="str">
        <v>Pravin Masal Paid</v>
      </c>
    </row>
    <row r="34">
      <c r="A34" t="str">
        <v>13ce4f28</v>
      </c>
      <c r="B34" t="str">
        <v>1aa31869</v>
      </c>
      <c r="C34" t="str">
        <v>Bhavesh Treaders (karele &amp; javas)</v>
      </c>
      <c r="D34" s="3">
        <v>46263</v>
      </c>
      <c r="E34" s="1">
        <v>270</v>
      </c>
      <c r="F34" t="str">
        <v>Waheeda (mother)</v>
      </c>
      <c r="G34" t="str">
        <v>Cash</v>
      </c>
      <c r="H34" t="str">
        <v/>
      </c>
    </row>
    <row r="35">
      <c r="A35" t="str">
        <v>c2ac5cbf</v>
      </c>
      <c r="B35" t="str">
        <v>05d27deb</v>
      </c>
      <c r="C35" t="str">
        <v>Cream House Lunch</v>
      </c>
      <c r="D35" s="3">
        <v>46263</v>
      </c>
      <c r="E35" s="1">
        <v>1124</v>
      </c>
      <c r="F35" t="str">
        <v>Asif Sayyed (Son)</v>
      </c>
      <c r="G35" t="str">
        <v>UPI</v>
      </c>
      <c r="H35" t="str">
        <v>Cream House Lunch paid</v>
      </c>
    </row>
    <row r="36">
      <c r="A36" t="str">
        <v>a7faa1c7</v>
      </c>
      <c r="B36" t="str">
        <v>beb44857</v>
      </c>
      <c r="C36" t="str">
        <v>Pratap films and Photography</v>
      </c>
      <c r="D36" s="3">
        <v>46263</v>
      </c>
      <c r="E36" s="1">
        <v>10000</v>
      </c>
      <c r="F36" t="str">
        <v>Asif Sayyed (Son)</v>
      </c>
      <c r="G36" t="str">
        <v>UPI</v>
      </c>
      <c r="H36" t="str">
        <v>second installment</v>
      </c>
    </row>
    <row r="37">
      <c r="A37" t="str">
        <v>6297fd78</v>
      </c>
      <c r="B37" t="str">
        <v>4e1fe7bf</v>
      </c>
      <c r="C37" t="str">
        <v>(Famous &amp; Libas Tailor)Silaee for Abba, Didi, Asif &amp; irfan Bhaijan</v>
      </c>
      <c r="D37" s="3">
        <v>46266</v>
      </c>
      <c r="E37" s="1">
        <v>10300</v>
      </c>
      <c r="F37" t="str">
        <v>Umar Sayyed (Father)</v>
      </c>
      <c r="G37" t="str">
        <v>UPI</v>
      </c>
      <c r="H37" t="str">
        <v>full payment done</v>
      </c>
    </row>
    <row r="38">
      <c r="A38" t="str">
        <v>e53fce6e</v>
      </c>
      <c r="B38" t="str">
        <v>2a74d868</v>
      </c>
      <c r="C38" t="str">
        <v>Colour &amp; plumber</v>
      </c>
      <c r="D38" s="3">
        <v>46270</v>
      </c>
      <c r="E38" s="1">
        <v>800</v>
      </c>
      <c r="F38" t="str">
        <v>Asif Sayyed (Son)</v>
      </c>
      <c r="G38" t="str">
        <v>UPI</v>
      </c>
      <c r="H38" t="str">
        <v/>
      </c>
    </row>
    <row r="39">
      <c r="A39" t="str">
        <v>0bd24ffb</v>
      </c>
      <c r="B39" t="str">
        <v>aaedf833</v>
      </c>
      <c r="C39" t="str">
        <v>Aluminum Shop Partition</v>
      </c>
      <c r="D39" s="3">
        <v>46271</v>
      </c>
      <c r="E39" s="1">
        <v>15000</v>
      </c>
      <c r="F39" t="str">
        <v>Asif Sayyed (Son)</v>
      </c>
      <c r="G39" t="str">
        <v>UPI</v>
      </c>
      <c r="H39" t="str">
        <v>Paid Advance</v>
      </c>
    </row>
    <row r="40">
      <c r="A40" t="str">
        <v>a1d6ea2f</v>
      </c>
      <c r="B40" t="str">
        <v>30b69ec5</v>
      </c>
      <c r="C40" t="str">
        <v>Mummy sadi</v>
      </c>
      <c r="D40" s="3">
        <v>46272</v>
      </c>
      <c r="E40" s="1">
        <v>1600</v>
      </c>
      <c r="F40" t="str">
        <v>Umar Sayyed (Father)</v>
      </c>
      <c r="G40" t="str">
        <v>Cash</v>
      </c>
      <c r="H40" t="str">
        <v/>
      </c>
    </row>
    <row r="41">
      <c r="A41" t="str">
        <v>c44e46e8</v>
      </c>
      <c r="B41" t="str">
        <v>beb44857</v>
      </c>
      <c r="C41" t="str">
        <v>Pratap films and Photography</v>
      </c>
      <c r="D41" s="3">
        <v>46273</v>
      </c>
      <c r="E41" s="1">
        <v>10000</v>
      </c>
      <c r="F41" t="str">
        <v>Asif Sayyed (Son)</v>
      </c>
      <c r="G41" t="str">
        <v>UPI</v>
      </c>
      <c r="H41" t="str">
        <v>3rd installment</v>
      </c>
    </row>
    <row r="42">
      <c r="A42" t="str">
        <v>7ac7100a</v>
      </c>
      <c r="B42" t="str">
        <v>b1e7073e</v>
      </c>
      <c r="C42" t="str">
        <v>Mummy Hospital Expence Mate Docter</v>
      </c>
      <c r="D42" s="3">
        <v>46276</v>
      </c>
      <c r="E42" s="1">
        <v>2900</v>
      </c>
      <c r="F42" t="str">
        <v>Asif Sayyed (Son)</v>
      </c>
      <c r="G42" t="str">
        <v>UPI</v>
      </c>
      <c r="H42" t="str">
        <v>paid</v>
      </c>
    </row>
    <row r="43">
      <c r="A43" t="str">
        <v>5da4a0cf</v>
      </c>
      <c r="B43" t="str">
        <v>766bfdf7</v>
      </c>
      <c r="C43" t="str">
        <v>Garva Biryani, hardware expense, flower</v>
      </c>
      <c r="D43" s="3">
        <v>46277</v>
      </c>
      <c r="E43" s="1">
        <v>410</v>
      </c>
      <c r="F43" t="str">
        <v>Asif Sayyed (Son)</v>
      </c>
      <c r="G43" t="str">
        <v>UPI</v>
      </c>
      <c r="H43" t="str">
        <v>Paid</v>
      </c>
    </row>
    <row r="44">
      <c r="A44" t="str">
        <v>7cdb194e</v>
      </c>
      <c r="B44" t="str">
        <v>aaedf833</v>
      </c>
      <c r="C44" t="str">
        <v>Aluminum Shop Partition</v>
      </c>
      <c r="D44" s="3">
        <v>46278</v>
      </c>
      <c r="E44" s="1">
        <v>8000</v>
      </c>
      <c r="F44" t="str">
        <v>Asif Sayyed (Son)</v>
      </c>
      <c r="G44" t="str">
        <v>UPI</v>
      </c>
      <c r="H44" t="str">
        <v>Completed payment</v>
      </c>
    </row>
    <row r="45">
      <c r="A45" t="str">
        <v>ecbdb657</v>
      </c>
      <c r="B45" t="str">
        <v>dc70b2a1</v>
      </c>
      <c r="C45" t="str">
        <v>Ice Cream, vada pav, Irani Cafe, Milk</v>
      </c>
      <c r="D45" s="3">
        <v>46278</v>
      </c>
      <c r="E45" s="1">
        <v>3000</v>
      </c>
      <c r="F45" t="str">
        <v>Asif Sayyed (Son)</v>
      </c>
      <c r="G45" t="str">
        <v>UPI</v>
      </c>
      <c r="H45" t="str">
        <v>payed</v>
      </c>
    </row>
    <row r="46">
      <c r="A46" t="str">
        <v>b8049298</v>
      </c>
      <c r="B46" t="str">
        <v>84c049af</v>
      </c>
      <c r="C46" t="str">
        <v>Petrol Glanza, Himalyan, PUC, Wheel Alingment, Engine cover Advance</v>
      </c>
      <c r="D46" s="3">
        <v>46279</v>
      </c>
      <c r="E46" s="1">
        <v>4000</v>
      </c>
      <c r="F46" t="str">
        <v>Asif Sayyed (Son)</v>
      </c>
      <c r="G46" t="str">
        <v>UPI</v>
      </c>
      <c r="H46" t="str">
        <v>payed</v>
      </c>
    </row>
    <row r="47">
      <c r="A47" t="str">
        <v>cf880b55</v>
      </c>
      <c r="B47" t="str">
        <v>f68b08a7</v>
      </c>
      <c r="C47" t="str">
        <v>Asif Radimant dress, jokey inner ware, white tighty, sliper</v>
      </c>
      <c r="D47" s="3">
        <v>46279</v>
      </c>
      <c r="E47" s="1">
        <v>7100</v>
      </c>
      <c r="F47" t="str">
        <v>Asif Sayyed (Son)</v>
      </c>
      <c r="G47" t="str">
        <v>UPI</v>
      </c>
      <c r="H47" t="str">
        <v>paid</v>
      </c>
    </row>
  </sheetData>
  <autoFilter ref="A1:H47"/>
  <ignoredErrors>
    <ignoredError numberStoredAsText="1" sqref="A1:H47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45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11300</v>
      </c>
      <c r="E2" s="1">
        <f>C2-D2</f>
        <v>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A S leather zone - Groom jacket</v>
      </c>
      <c r="B5" t="str">
        <v>Clothing &amp; Jewellery</v>
      </c>
      <c r="C5" s="1">
        <v>3500</v>
      </c>
      <c r="D5" s="1">
        <f>SUMIF('Payments'!$C:$C,$A5,'Payments'!$E:$E)</f>
        <v>3500</v>
      </c>
      <c r="E5" s="1">
        <f>C5-D5</f>
        <v>0</v>
      </c>
    </row>
    <row r="6">
      <c r="A6" t="str">
        <v>Aluminum Shop Partition</v>
      </c>
      <c r="B6" t="str">
        <v>Miscellaneous</v>
      </c>
      <c r="C6" s="1">
        <v>23000</v>
      </c>
      <c r="D6" s="1">
        <f>SUMIF('Payments'!$C:$C,$A6,'Payments'!$E:$E)</f>
        <v>23000</v>
      </c>
      <c r="E6" s="1">
        <f>C6-D6</f>
        <v>0</v>
      </c>
    </row>
    <row r="7">
      <c r="A7" t="str">
        <v>Arbiya &amp; Didi Sangle</v>
      </c>
      <c r="B7" t="str">
        <v>Clothing &amp; Jewellery</v>
      </c>
      <c r="C7" s="1">
        <v>1300</v>
      </c>
      <c r="D7" s="1">
        <f>SUMIF('Payments'!$C:$C,$A7,'Payments'!$E:$E)</f>
        <v>1300</v>
      </c>
      <c r="E7" s="1">
        <f>C7-D7</f>
        <v>0</v>
      </c>
    </row>
    <row r="8">
      <c r="A8" t="str">
        <v>Arbiya Bangals</v>
      </c>
      <c r="B8" t="str">
        <v>Clothing &amp; Jewellery</v>
      </c>
      <c r="C8" s="1">
        <v>550</v>
      </c>
      <c r="D8" s="1">
        <f>SUMIF('Payments'!$C:$C,$A8,'Payments'!$E:$E)</f>
        <v>550</v>
      </c>
      <c r="E8" s="1">
        <f>C8-D8</f>
        <v>0</v>
      </c>
    </row>
    <row r="9">
      <c r="A9" t="str">
        <v>Asif Radimant dress, jokey inner ware, white tighty, sliper</v>
      </c>
      <c r="B9" t="str">
        <v>Clothing &amp; Jewellery</v>
      </c>
      <c r="C9" s="1">
        <v>7100</v>
      </c>
      <c r="D9" s="1">
        <f>SUMIF('Payments'!$C:$C,$A9,'Payments'!$E:$E)</f>
        <v>7100</v>
      </c>
      <c r="E9" s="1">
        <f>C9-D9</f>
        <v>0</v>
      </c>
    </row>
    <row r="10">
      <c r="A10" t="str">
        <v>Bari ka saman</v>
      </c>
      <c r="B10" t="str">
        <v>Gifts &amp; Return Gifts</v>
      </c>
      <c r="C10" s="1">
        <v>2200</v>
      </c>
      <c r="D10" s="1">
        <f>SUMIF('Payments'!$C:$C,$A10,'Payments'!$E:$E)</f>
        <v>2200</v>
      </c>
      <c r="E10" s="1">
        <f>C10-D10</f>
        <v>0</v>
      </c>
    </row>
    <row r="11">
      <c r="A11" t="str">
        <v>Bhavesh Treaders (karele &amp; javas)</v>
      </c>
      <c r="B11" t="str">
        <v>Food &amp; Catering</v>
      </c>
      <c r="C11" s="1">
        <v>270</v>
      </c>
      <c r="D11" s="1">
        <f>SUMIF('Payments'!$C:$C,$A11,'Payments'!$E:$E)</f>
        <v>270</v>
      </c>
      <c r="E11" s="1">
        <f>C11-D11</f>
        <v>0</v>
      </c>
    </row>
    <row r="12">
      <c r="A12" t="str">
        <v>Bhavesh Treaders (kirana)</v>
      </c>
      <c r="B12" t="str">
        <v>Food &amp; Catering</v>
      </c>
      <c r="C12" s="1">
        <v>4600</v>
      </c>
      <c r="D12" s="1">
        <f>SUMIF('Payments'!$C:$C,$A12,'Payments'!$E:$E)</f>
        <v>4600</v>
      </c>
      <c r="E12" s="1">
        <f>C12-D12</f>
        <v>0</v>
      </c>
    </row>
    <row r="13">
      <c r="A13" t="str">
        <v>Colour &amp; plumber</v>
      </c>
      <c r="B13" t="str">
        <v>Miscellaneous</v>
      </c>
      <c r="C13" s="1">
        <v>800</v>
      </c>
      <c r="D13" s="1">
        <f>SUMIF('Payments'!$C:$C,$A13,'Payments'!$E:$E)</f>
        <v>800</v>
      </c>
      <c r="E13" s="1">
        <f>C13-D13</f>
        <v>0</v>
      </c>
    </row>
    <row r="14">
      <c r="A14" t="str">
        <v>Cream House Lunch</v>
      </c>
      <c r="B14" t="str">
        <v>Food &amp; Catering</v>
      </c>
      <c r="C14" s="1">
        <v>1124</v>
      </c>
      <c r="D14" s="1">
        <f>SUMIF('Payments'!$C:$C,$A14,'Payments'!$E:$E)</f>
        <v>1124</v>
      </c>
      <c r="E14" s="1">
        <f>C14-D14</f>
        <v>0</v>
      </c>
    </row>
    <row r="15">
      <c r="A15" t="str">
        <v>Day night Flower Decoration - (hall)</v>
      </c>
      <c r="B15" t="str">
        <v>Decoration</v>
      </c>
      <c r="C15" s="1">
        <v>143000</v>
      </c>
      <c r="D15" s="1">
        <f>SUMIF('Payments'!$C:$C,$A15,'Payments'!$E:$E)</f>
        <v>15000</v>
      </c>
      <c r="E15" s="1">
        <f>C15-D15</f>
        <v>128000</v>
      </c>
    </row>
    <row r="16">
      <c r="A16" t="str">
        <v>Famous cotton- Pathani 9</v>
      </c>
      <c r="B16" t="str">
        <v>Clothing &amp; Jewellery</v>
      </c>
      <c r="C16" s="1">
        <v>12150</v>
      </c>
      <c r="D16" s="1">
        <f>SUMIF('Payments'!$C:$C,$A16,'Payments'!$E:$E)</f>
        <v>12150</v>
      </c>
      <c r="E16" s="1">
        <f>C16-D16</f>
        <v>0</v>
      </c>
    </row>
    <row r="17">
      <c r="A17" t="str">
        <v>Famous Tailor - Groom Reception dress</v>
      </c>
      <c r="B17" t="str">
        <v>Clothing &amp; Jewellery</v>
      </c>
      <c r="C17" s="1">
        <v>10000</v>
      </c>
      <c r="D17" s="1">
        <f>SUMIF('Payments'!$C:$C,$A17,'Payments'!$E:$E)</f>
        <v>10000</v>
      </c>
      <c r="E17" s="1">
        <f>C17-D17</f>
        <v>0</v>
      </c>
    </row>
    <row r="18">
      <c r="A18" t="str">
        <v>Food at shopping time</v>
      </c>
      <c r="B18" t="str">
        <v>Miscellaneous</v>
      </c>
      <c r="C18" s="1">
        <v>2609</v>
      </c>
      <c r="D18" s="1">
        <f>SUMIF('Payments'!$C:$C,$A18,'Payments'!$E:$E)</f>
        <v>2609</v>
      </c>
      <c r="E18" s="1">
        <f>C18-D18</f>
        <v>0</v>
      </c>
    </row>
    <row r="19">
      <c r="A19" t="str">
        <v>Garva Biryani, hardware expense, flower</v>
      </c>
      <c r="B19" t="str">
        <v>Miscellaneous</v>
      </c>
      <c r="C19" s="1">
        <v>410</v>
      </c>
      <c r="D19" s="1">
        <f>SUMIF('Payments'!$C:$C,$A19,'Payments'!$E:$E)</f>
        <v>410</v>
      </c>
      <c r="E19" s="1">
        <f>C19-D19</f>
        <v>0</v>
      </c>
    </row>
    <row r="20">
      <c r="A20" t="str">
        <v>Groom haircut and other saloon expences</v>
      </c>
      <c r="B20" t="str">
        <v>Beauty &amp; Mehendi</v>
      </c>
      <c r="C20" s="1">
        <v>500</v>
      </c>
      <c r="D20" s="1">
        <f>SUMIF('Payments'!$C:$C,$A20,'Payments'!$E:$E)</f>
        <v>500</v>
      </c>
      <c r="E20" s="1">
        <f>C20-D20</f>
        <v>0</v>
      </c>
    </row>
    <row r="21">
      <c r="A21" t="str">
        <v>Huseni Caterers</v>
      </c>
      <c r="B21" t="str">
        <v>Food &amp; Catering</v>
      </c>
      <c r="C21" s="1">
        <v>575000</v>
      </c>
      <c r="D21" s="1">
        <f>SUMIF('Payments'!$C:$C,$A21,'Payments'!$E:$E)</f>
        <v>50000</v>
      </c>
      <c r="E21" s="1">
        <f>C21-D21</f>
        <v>525000</v>
      </c>
    </row>
    <row r="22">
      <c r="A22" t="str">
        <v>Ice Cream, vada pav, Irani Cafe, Milk</v>
      </c>
      <c r="B22" t="str">
        <v>Food &amp; Catering</v>
      </c>
      <c r="C22" s="1">
        <v>3000</v>
      </c>
      <c r="D22" s="1">
        <f>SUMIF('Payments'!$C:$C,$A22,'Payments'!$E:$E)</f>
        <v>3000</v>
      </c>
      <c r="E22" s="1">
        <f>C22-D22</f>
        <v>0</v>
      </c>
    </row>
    <row r="23">
      <c r="A23" t="str">
        <v>Invitation Card (Shubham)</v>
      </c>
      <c r="B23" t="str">
        <v>Invitations &amp; Printing</v>
      </c>
      <c r="C23" s="1">
        <v>1500</v>
      </c>
      <c r="D23" s="1">
        <f>SUMIF('Payments'!$C:$C,$A23,'Payments'!$E:$E)</f>
        <v>1500</v>
      </c>
      <c r="E23" s="1">
        <f>C23-D23</f>
        <v>0</v>
      </c>
    </row>
    <row r="24">
      <c r="A24" t="str">
        <v>Invitation Card (treaditional)</v>
      </c>
      <c r="B24" t="str">
        <v>Invitations &amp; Printing</v>
      </c>
      <c r="C24" s="1">
        <v>3675</v>
      </c>
      <c r="D24" s="1">
        <f>SUMIF('Payments'!$C:$C,$A24,'Payments'!$E:$E)</f>
        <v>3675</v>
      </c>
      <c r="E24" s="1">
        <f>C24-D24</f>
        <v>0</v>
      </c>
    </row>
    <row r="25">
      <c r="A25" t="str">
        <v>Moolchand - Bride reception dress</v>
      </c>
      <c r="B25" t="str">
        <v>Clothing &amp; Jewellery</v>
      </c>
      <c r="C25" s="1">
        <v>7604</v>
      </c>
      <c r="D25" s="1">
        <f>SUMIF('Payments'!$C:$C,$A25,'Payments'!$E:$E)</f>
        <v>7604</v>
      </c>
      <c r="E25" s="1">
        <f>C25-D25</f>
        <v>0</v>
      </c>
    </row>
    <row r="26">
      <c r="A26" t="str">
        <v>Moolchand Sarees basta</v>
      </c>
      <c r="B26" t="str">
        <v>Clothing &amp; Jewellery</v>
      </c>
      <c r="C26" s="1">
        <v>24880</v>
      </c>
      <c r="D26" s="1">
        <f>SUMIF('Payments'!$C:$C,$A26,'Payments'!$E:$E)</f>
        <v>24880</v>
      </c>
      <c r="E26" s="1">
        <f>C26-D26</f>
        <v>0</v>
      </c>
    </row>
    <row r="27">
      <c r="A27" t="str">
        <v>Morya Collections - Groom wedding dress</v>
      </c>
      <c r="B27" t="str">
        <v>Clothing &amp; Jewellery</v>
      </c>
      <c r="C27" s="1">
        <v>13680</v>
      </c>
      <c r="D27" s="1">
        <f>SUMIF('Payments'!$C:$C,$A27,'Payments'!$E:$E)</f>
        <v>13680</v>
      </c>
      <c r="E27" s="1">
        <f>C27-D27</f>
        <v>0</v>
      </c>
    </row>
    <row r="28">
      <c r="A28" t="str">
        <v>Morya mojadii</v>
      </c>
      <c r="B28" t="str">
        <v>Clothing &amp; Jewellery</v>
      </c>
      <c r="C28" s="1">
        <v>400</v>
      </c>
      <c r="D28" s="1">
        <f>SUMIF('Payments'!$C:$C,$A28,'Payments'!$E:$E)</f>
        <v>400</v>
      </c>
      <c r="E28" s="1">
        <f>C28-D28</f>
        <v>0</v>
      </c>
    </row>
    <row r="29">
      <c r="A29" t="str">
        <v>Mummy Hospital Expence Mate Docter</v>
      </c>
      <c r="B29" t="str">
        <v>Miscellaneous</v>
      </c>
      <c r="C29" s="1">
        <v>2900</v>
      </c>
      <c r="D29" s="1">
        <f>SUMIF('Payments'!$C:$C,$A29,'Payments'!$E:$E)</f>
        <v>2900</v>
      </c>
      <c r="E29" s="1">
        <f>C29-D29</f>
        <v>0</v>
      </c>
    </row>
    <row r="30">
      <c r="A30" t="str">
        <v>Mummy sadi</v>
      </c>
      <c r="B30" t="str">
        <v>Clothing &amp; Jewellery</v>
      </c>
      <c r="C30" s="1">
        <v>1600</v>
      </c>
      <c r="D30" s="1">
        <f>SUMIF('Payments'!$C:$C,$A30,'Payments'!$E:$E)</f>
        <v>1600</v>
      </c>
      <c r="E30" s="1">
        <f>C30-D30</f>
        <v>0</v>
      </c>
    </row>
    <row r="31">
      <c r="A31" t="str">
        <v>Navkar Sales Corporation</v>
      </c>
      <c r="B31" t="str">
        <v>Food &amp; Catering</v>
      </c>
      <c r="C31" s="1">
        <v>8649</v>
      </c>
      <c r="D31" s="1">
        <f>SUMIF('Payments'!$C:$C,$A31,'Payments'!$E:$E)</f>
        <v>8649</v>
      </c>
      <c r="E31" s="1">
        <f>C31-D31</f>
        <v>0</v>
      </c>
    </row>
    <row r="32">
      <c r="A32" t="str">
        <v>New Balaji Treaders</v>
      </c>
      <c r="B32" t="str">
        <v>Food &amp; Catering</v>
      </c>
      <c r="C32" s="1">
        <v>575</v>
      </c>
      <c r="D32" s="1">
        <f>SUMIF('Payments'!$C:$C,$A32,'Payments'!$E:$E)</f>
        <v>575</v>
      </c>
      <c r="E32" s="1">
        <f>C32-D32</f>
        <v>0</v>
      </c>
    </row>
    <row r="33">
      <c r="A33" t="str">
        <v>Parag bride 3 dress</v>
      </c>
      <c r="B33" t="str">
        <v>Clothing &amp; Jewellery</v>
      </c>
      <c r="C33" s="1">
        <v>5700</v>
      </c>
      <c r="D33" s="1">
        <f>SUMIF('Payments'!$C:$C,$A33,'Payments'!$E:$E)</f>
        <v>5700</v>
      </c>
      <c r="E33" s="1">
        <f>C33-D33</f>
        <v>0</v>
      </c>
    </row>
    <row r="34">
      <c r="A34" t="str">
        <v>Parag Relative 20 dressed &amp; other cloths</v>
      </c>
      <c r="B34" t="str">
        <v>Clothing &amp; Jewellery</v>
      </c>
      <c r="C34" s="1">
        <v>24000</v>
      </c>
      <c r="D34" s="1">
        <f>SUMIF('Payments'!$C:$C,$A34,'Payments'!$E:$E)</f>
        <v>24000</v>
      </c>
      <c r="E34" s="1">
        <f>C34-D34</f>
        <v>0</v>
      </c>
    </row>
    <row r="35">
      <c r="A35" t="str">
        <v>Petrol Glanza</v>
      </c>
      <c r="B35" t="str">
        <v>Miscellaneous</v>
      </c>
      <c r="C35" s="1">
        <v>4000</v>
      </c>
      <c r="D35" s="1">
        <f>SUMIF('Payments'!$C:$C,$A35,'Payments'!$E:$E)</f>
        <v>4000</v>
      </c>
      <c r="E35" s="1">
        <f>C35-D35</f>
        <v>0</v>
      </c>
    </row>
    <row r="36">
      <c r="A36" t="str">
        <v>Petrol Glanza, Himalyan, PUC, Wheel Alingment, Engine cover Advance</v>
      </c>
      <c r="B36" t="str">
        <v>Transport</v>
      </c>
      <c r="C36" s="1">
        <v>4000</v>
      </c>
      <c r="D36" s="1">
        <f>SUMIF('Payments'!$C:$C,$A36,'Payments'!$E:$E)</f>
        <v>4000</v>
      </c>
      <c r="E36" s="1">
        <f>C36-D36</f>
        <v>0</v>
      </c>
    </row>
    <row r="37">
      <c r="A37" t="str">
        <v>Pratap films and Photography</v>
      </c>
      <c r="B37" t="str">
        <v>Photography &amp; Video</v>
      </c>
      <c r="C37" s="1">
        <v>100000</v>
      </c>
      <c r="D37" s="1">
        <f>SUMIF('Payments'!$C:$C,$A37,'Payments'!$E:$E)</f>
        <v>30000</v>
      </c>
      <c r="E37" s="1">
        <f>C37-D37</f>
        <v>70000</v>
      </c>
    </row>
    <row r="38">
      <c r="A38" t="str">
        <v>Pravin Masale</v>
      </c>
      <c r="B38" t="str">
        <v>Food &amp; Catering</v>
      </c>
      <c r="C38" s="1">
        <v>3345</v>
      </c>
      <c r="D38" s="1">
        <f>SUMIF('Payments'!$C:$C,$A38,'Payments'!$E:$E)</f>
        <v>3345</v>
      </c>
      <c r="E38" s="1">
        <f>C38-D38</f>
        <v>0</v>
      </c>
    </row>
    <row r="39">
      <c r="A39" t="str">
        <v>Prewedding shoot expences(lunch, fuel and other)</v>
      </c>
      <c r="B39" t="str">
        <v>Miscellaneous</v>
      </c>
      <c r="C39" s="1">
        <v>11840</v>
      </c>
      <c r="D39" s="1">
        <f>SUMIF('Payments'!$C:$C,$A39,'Payments'!$E:$E)</f>
        <v>11840</v>
      </c>
      <c r="E39" s="1">
        <f>C39-D39</f>
        <v>0</v>
      </c>
    </row>
    <row r="40">
      <c r="A40" t="str">
        <v>Shireen Dress</v>
      </c>
      <c r="B40" t="str">
        <v>Clothing &amp; Jewellery</v>
      </c>
      <c r="C40" s="1">
        <v>2000</v>
      </c>
      <c r="D40" s="1">
        <f>SUMIF('Payments'!$C:$C,$A40,'Payments'!$E:$E)</f>
        <v>2000</v>
      </c>
      <c r="E40" s="1">
        <f>C40-D40</f>
        <v>0</v>
      </c>
    </row>
    <row r="41">
      <c r="A41" t="str">
        <v>Soyarik mangal karyalay</v>
      </c>
      <c r="B41" t="str">
        <v>Venue &amp; Hall</v>
      </c>
      <c r="C41" s="1">
        <v>105000</v>
      </c>
      <c r="D41" s="1">
        <f>SUMIF('Payments'!$C:$C,$A41,'Payments'!$E:$E)</f>
        <v>15000</v>
      </c>
      <c r="E41" s="1">
        <f>C41-D41</f>
        <v>90000</v>
      </c>
    </row>
    <row r="42">
      <c r="A42" t="str">
        <v>Star Bazaar - Prewedding dress</v>
      </c>
      <c r="B42" t="str">
        <v>Clothing &amp; Jewellery</v>
      </c>
      <c r="C42" s="1">
        <v>6190</v>
      </c>
      <c r="D42" s="1">
        <f>SUMIF('Payments'!$C:$C,$A42,'Payments'!$E:$E)</f>
        <v>6190</v>
      </c>
      <c r="E42" s="1">
        <f>C42-D42</f>
        <v>0</v>
      </c>
    </row>
    <row r="43">
      <c r="A43" t="str">
        <v>Tushar Traders Oil</v>
      </c>
      <c r="B43" t="str">
        <v>Food &amp; Catering</v>
      </c>
      <c r="C43" s="1">
        <v>5100</v>
      </c>
      <c r="D43" s="1">
        <f>SUMIF('Payments'!$C:$C,$A43,'Payments'!$E:$E)</f>
        <v>5100</v>
      </c>
      <c r="E43" s="1">
        <f>C43-D43</f>
        <v>0</v>
      </c>
    </row>
    <row r="44">
      <c r="A44" t="str">
        <v>Untracked expenses Petrol, Food, small bills</v>
      </c>
      <c r="B44" t="str">
        <v>Miscellaneous</v>
      </c>
      <c r="C44" s="1">
        <v>9150</v>
      </c>
      <c r="D44" s="1">
        <f>SUMIF('Payments'!$C:$C,$A44,'Payments'!$E:$E)</f>
        <v>0</v>
      </c>
      <c r="E44" s="1">
        <f>C44-D44</f>
        <v>9150</v>
      </c>
    </row>
    <row r="45">
      <c r="A45" t="str">
        <v>Total</v>
      </c>
      <c r="C45" s="1">
        <f>SUM(C2:C44)</f>
        <v>1154826</v>
      </c>
      <c r="D45" s="1">
        <f>SUM(D2:D44)</f>
        <v>332676</v>
      </c>
      <c r="E45" s="1">
        <f>SUM(E2:E44)</f>
        <v>822150</v>
      </c>
    </row>
  </sheetData>
  <ignoredErrors>
    <ignoredError numberStoredAsText="1" sqref="A1:E45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