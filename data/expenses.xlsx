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'Budget'!A1:F48</definedName>
    <definedName name="_xlnm._FilterDatabase" localSheetId="1">'Payments'!A1:H60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158000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db4969e8</v>
      </c>
      <c r="B47" t="str">
        <v>Tushar Traders Oil</v>
      </c>
      <c r="C47" t="str">
        <v>Food &amp; Catering</v>
      </c>
      <c r="D47" s="1">
        <v>5100</v>
      </c>
      <c r="E47" s="2" t="str">
        <v/>
      </c>
      <c r="F47" t="str">
        <v>Tushar Traders Oil</v>
      </c>
    </row>
    <row r="48">
      <c r="A48" t="str">
        <v>9961a7bb</v>
      </c>
      <c r="B48" t="str">
        <v>Untracked expenses Petrol, Food, small bills</v>
      </c>
      <c r="C48" t="str">
        <v>Miscellaneous</v>
      </c>
      <c r="D48" s="1">
        <v>9150</v>
      </c>
      <c r="E48" s="2" t="str">
        <v/>
      </c>
      <c r="F48" t="str">
        <v/>
      </c>
    </row>
  </sheetData>
  <autoFilter ref="A1:F48"/>
  <ignoredErrors>
    <ignoredError numberStoredAsText="1" sqref="A1:F4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</sheetData>
  <autoFilter ref="A1:H60"/>
  <ignoredErrors>
    <ignoredError numberStoredAsText="1" sqref="A1:H6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0</v>
      </c>
      <c r="E13" s="1">
        <f>C13-D13</f>
        <v>3000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158000</v>
      </c>
      <c r="D17" s="1">
        <f>SUMIF('Payments'!$C:$C,$A17,'Payments'!$E:$E)</f>
        <v>108000</v>
      </c>
      <c r="E17" s="1">
        <f>C17-D17</f>
        <v>50000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15000</v>
      </c>
      <c r="E21" s="1">
        <f>C21-D21</f>
        <v>24500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450000</v>
      </c>
      <c r="E24" s="1">
        <f>C24-D24</f>
        <v>125000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Tushar Traders Oil</v>
      </c>
      <c r="B47" t="str">
        <v>Food &amp; Catering</v>
      </c>
      <c r="C47" s="1">
        <v>5100</v>
      </c>
      <c r="D47" s="1">
        <f>SUMIF('Payments'!$C:$C,$A47,'Payments'!$E:$E)</f>
        <v>5100</v>
      </c>
      <c r="E47" s="1">
        <f>C47-D47</f>
        <v>0</v>
      </c>
    </row>
    <row r="48">
      <c r="A48" t="str">
        <v>Untracked expenses Petrol, Food, small bills</v>
      </c>
      <c r="B48" t="str">
        <v>Miscellaneous</v>
      </c>
      <c r="C48" s="1">
        <v>9150</v>
      </c>
      <c r="D48" s="1">
        <f>SUMIF('Payments'!$C:$C,$A48,'Payments'!$E:$E)</f>
        <v>9150</v>
      </c>
      <c r="E48" s="1">
        <f>C48-D48</f>
        <v>0</v>
      </c>
    </row>
    <row r="49">
      <c r="A49" t="str">
        <v>Total</v>
      </c>
      <c r="C49" s="1">
        <f>SUM(C2:C48)</f>
        <v>1223238</v>
      </c>
      <c r="D49" s="1">
        <f>SUM(D2:D48)</f>
        <v>960738</v>
      </c>
      <c r="E49" s="1">
        <f>SUM(E2:E48)</f>
        <v>262500</v>
      </c>
    </row>
  </sheetData>
  <ignoredErrors>
    <ignoredError numberStoredAsText="1" sqref="A1:E4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