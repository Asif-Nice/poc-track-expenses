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'Budget'!A1:F61</definedName>
    <definedName name="_xlnm._FilterDatabase" localSheetId="1">'Payments'!A1:H81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bf56437c</v>
      </c>
      <c r="B25" t="str">
        <v>Gold &amp; Silver</v>
      </c>
      <c r="C25" t="str">
        <v>Clothing &amp; Jewellery</v>
      </c>
      <c r="D25" s="1">
        <v>1070000</v>
      </c>
      <c r="E25" s="2" t="str">
        <v/>
      </c>
      <c r="F25" t="str">
        <v/>
      </c>
    </row>
    <row r="26">
      <c r="A26" t="str">
        <v>209d43b7</v>
      </c>
      <c r="B26" t="str">
        <v>Groom haircut and other saloon expences</v>
      </c>
      <c r="C26" t="str">
        <v>Beauty &amp; Mehendi</v>
      </c>
      <c r="D26" s="1">
        <v>500</v>
      </c>
      <c r="E26" s="2" t="str">
        <v/>
      </c>
      <c r="F26" t="str">
        <v>Groom haircut and other saloon expences</v>
      </c>
    </row>
    <row r="27">
      <c r="A27" t="str">
        <v>168b7bbd</v>
      </c>
      <c r="B27" t="str">
        <v>Huseni Caterers</v>
      </c>
      <c r="C27" t="str">
        <v>Food &amp; Catering</v>
      </c>
      <c r="D27" s="1">
        <v>575000</v>
      </c>
      <c r="E27" s="2" t="str">
        <v>9226111899</v>
      </c>
      <c r="F27" t="str">
        <v>Reception food</v>
      </c>
    </row>
    <row r="28">
      <c r="A28" t="str">
        <v>dc70b2a1</v>
      </c>
      <c r="B28" t="str">
        <v>Ice Cream, vada pav, Irani Cafe, Milk</v>
      </c>
      <c r="C28" t="str">
        <v>Food &amp; Catering</v>
      </c>
      <c r="D28" s="1">
        <v>3000</v>
      </c>
      <c r="E28" s="2" t="str">
        <v/>
      </c>
      <c r="F28" t="str">
        <v>internal expense</v>
      </c>
    </row>
    <row r="29">
      <c r="A29" t="str">
        <v>aa710190</v>
      </c>
      <c r="B29" t="str">
        <v>Invitation Card (Shubham)</v>
      </c>
      <c r="C29" t="str">
        <v>Invitations &amp; Printing</v>
      </c>
      <c r="D29" s="1">
        <v>1500</v>
      </c>
      <c r="E29" s="2" t="str">
        <v>7385125161</v>
      </c>
      <c r="F29" t="str">
        <v>Invitation Card (Shubham)  100</v>
      </c>
    </row>
    <row r="30">
      <c r="A30" t="str">
        <v>1e95c55a</v>
      </c>
      <c r="B30" t="str">
        <v>Invitation Card (treaditional)</v>
      </c>
      <c r="C30" t="str">
        <v>Invitations &amp; Printing</v>
      </c>
      <c r="D30" s="1">
        <v>3675</v>
      </c>
      <c r="E30" s="2" t="str">
        <v>9890326266</v>
      </c>
      <c r="F30" t="str">
        <v>Invitation Card (treaditional)</v>
      </c>
    </row>
    <row r="31">
      <c r="A31" t="str">
        <v>99d3617a</v>
      </c>
      <c r="B31" t="str">
        <v>Lucky Mattan Shop (Bakra for haldi)</v>
      </c>
      <c r="C31" t="str">
        <v>Food &amp; Catering</v>
      </c>
      <c r="D31" s="1">
        <v>10000</v>
      </c>
      <c r="E31" s="2" t="str">
        <v/>
      </c>
      <c r="F31" t="str">
        <v>Rahim</v>
      </c>
    </row>
    <row r="32">
      <c r="A32" t="str">
        <v>f7330587</v>
      </c>
      <c r="B32" t="str">
        <v>Lunch After Mariage Shiv Sunder</v>
      </c>
      <c r="C32" t="str">
        <v>Food &amp; Catering</v>
      </c>
      <c r="D32" s="1">
        <v>2700</v>
      </c>
      <c r="E32" s="2" t="str">
        <v/>
      </c>
      <c r="F32" t="str">
        <v/>
      </c>
    </row>
    <row r="33">
      <c r="A33" t="str">
        <v>08cd3226</v>
      </c>
      <c r="B33" t="str">
        <v>Meher Amount</v>
      </c>
      <c r="C33" t="str">
        <v>Gifts &amp; Return Gifts</v>
      </c>
      <c r="D33" s="1">
        <v>11111</v>
      </c>
      <c r="E33" s="2" t="str">
        <v/>
      </c>
      <c r="F33" t="str">
        <v/>
      </c>
    </row>
    <row r="34">
      <c r="A34" t="str">
        <v>a1def8e4</v>
      </c>
      <c r="B34" t="str">
        <v>miscellaneous ratjaka (chicken, tags, bartan)</v>
      </c>
      <c r="C34" t="str">
        <v>Venue &amp; Hall</v>
      </c>
      <c r="D34" s="1">
        <v>5412</v>
      </c>
      <c r="E34" s="2" t="str">
        <v/>
      </c>
      <c r="F34" t="str">
        <v/>
      </c>
    </row>
    <row r="35">
      <c r="A35" t="str">
        <v>87751d8e</v>
      </c>
      <c r="B35" t="str">
        <v>Mom Miscellaneous Bangals, Area cleaning other expence</v>
      </c>
      <c r="C35" t="str">
        <v>Miscellaneous</v>
      </c>
      <c r="D35" s="1">
        <v>15000</v>
      </c>
      <c r="E35" s="2" t="str">
        <v/>
      </c>
      <c r="F35" t="str">
        <v/>
      </c>
    </row>
    <row r="36">
      <c r="A36" t="str">
        <v>c7e8b352</v>
      </c>
      <c r="B36" t="str">
        <v>Moolchand - Bride reception dress</v>
      </c>
      <c r="C36" t="str">
        <v>Clothing &amp; Jewellery</v>
      </c>
      <c r="D36" s="1">
        <v>7604</v>
      </c>
      <c r="E36" s="2" t="str">
        <v/>
      </c>
      <c r="F36" t="str">
        <v>Bride reception dress</v>
      </c>
    </row>
    <row r="37">
      <c r="A37" t="str">
        <v>2c67b679</v>
      </c>
      <c r="B37" t="str">
        <v>Moolchand Sarees basta</v>
      </c>
      <c r="C37" t="str">
        <v>Clothing &amp; Jewellery</v>
      </c>
      <c r="D37" s="1">
        <v>24880</v>
      </c>
      <c r="E37" s="2" t="str">
        <v/>
      </c>
      <c r="F37" t="str">
        <v>Moolchand Sarees for basta</v>
      </c>
    </row>
    <row r="38">
      <c r="A38" t="str">
        <v>068998a3</v>
      </c>
      <c r="B38" t="str">
        <v>Morya Collections - Groom wedding dress</v>
      </c>
      <c r="C38" t="str">
        <v>Clothing &amp; Jewellery</v>
      </c>
      <c r="D38" s="1">
        <v>13680</v>
      </c>
      <c r="E38" s="2" t="str">
        <v/>
      </c>
      <c r="F38" t="str">
        <v>Groom wedding dress</v>
      </c>
    </row>
    <row r="39">
      <c r="A39" t="str">
        <v>a78dd739</v>
      </c>
      <c r="B39" t="str">
        <v>Morya mojadii</v>
      </c>
      <c r="C39" t="str">
        <v>Clothing &amp; Jewellery</v>
      </c>
      <c r="D39" s="1">
        <v>400</v>
      </c>
      <c r="E39" s="2" t="str">
        <v/>
      </c>
      <c r="F39" t="str">
        <v>Shoes</v>
      </c>
    </row>
    <row r="40">
      <c r="A40" t="str">
        <v>b1e7073e</v>
      </c>
      <c r="B40" t="str">
        <v>Mummy Hospital Expence Mate Docter</v>
      </c>
      <c r="C40" t="str">
        <v>Miscellaneous</v>
      </c>
      <c r="D40" s="1">
        <v>2900</v>
      </c>
      <c r="E40" s="2" t="str">
        <v/>
      </c>
      <c r="F40" t="str">
        <v/>
      </c>
    </row>
    <row r="41">
      <c r="A41" t="str">
        <v>30b69ec5</v>
      </c>
      <c r="B41" t="str">
        <v>Mummy sadi</v>
      </c>
      <c r="C41" t="str">
        <v>Clothing &amp; Jewellery</v>
      </c>
      <c r="D41" s="1">
        <v>1600</v>
      </c>
      <c r="E41" s="2" t="str">
        <v/>
      </c>
      <c r="F41" t="str">
        <v/>
      </c>
    </row>
    <row r="42">
      <c r="A42" t="str">
        <v>f31def6e</v>
      </c>
      <c r="B42" t="str">
        <v>Music in reception &amp; sangit</v>
      </c>
      <c r="C42" t="str">
        <v>Music &amp; Entertainment</v>
      </c>
      <c r="D42" s="1">
        <v>13000</v>
      </c>
      <c r="E42" s="2" t="str">
        <v/>
      </c>
      <c r="F42" t="str">
        <v/>
      </c>
    </row>
    <row r="43">
      <c r="A43" t="str">
        <v>eebc3aaf</v>
      </c>
      <c r="B43" t="str">
        <v>Navkar Sales Corporation</v>
      </c>
      <c r="C43" t="str">
        <v>Food &amp; Catering</v>
      </c>
      <c r="D43" s="1">
        <v>8649</v>
      </c>
      <c r="E43" s="2" t="str">
        <v/>
      </c>
      <c r="F43" t="str">
        <v>Navkar Sales Corporation</v>
      </c>
    </row>
    <row r="44">
      <c r="A44" t="str">
        <v>e6b755dc</v>
      </c>
      <c r="B44" t="str">
        <v>New Balaji Treaders</v>
      </c>
      <c r="C44" t="str">
        <v>Food &amp; Catering</v>
      </c>
      <c r="D44" s="1">
        <v>575</v>
      </c>
      <c r="E44" s="2" t="str">
        <v/>
      </c>
      <c r="F44" t="str">
        <v>New Balaji Treaders</v>
      </c>
    </row>
    <row r="45">
      <c r="A45" t="str">
        <v>113a1c1a</v>
      </c>
      <c r="B45" t="str">
        <v>Parag bride 3 dress</v>
      </c>
      <c r="C45" t="str">
        <v>Clothing &amp; Jewellery</v>
      </c>
      <c r="D45" s="1">
        <v>5700</v>
      </c>
      <c r="E45" s="2" t="str">
        <v/>
      </c>
      <c r="F45" t="str">
        <v>bride 3 dress</v>
      </c>
    </row>
    <row r="46">
      <c r="A46" t="str">
        <v>7896f0b1</v>
      </c>
      <c r="B46" t="str">
        <v>Parag Relative 20 dressed &amp; other cloths</v>
      </c>
      <c r="C46" t="str">
        <v>Clothing &amp; Jewellery</v>
      </c>
      <c r="D46" s="1">
        <v>24000</v>
      </c>
      <c r="E46" s="2" t="str">
        <v/>
      </c>
      <c r="F46" t="str">
        <v>Parag Relative 20 dressed &amp; other cloths</v>
      </c>
    </row>
    <row r="47">
      <c r="A47" t="str">
        <v>9299bcdc</v>
      </c>
      <c r="B47" t="str">
        <v>Patti mudekhai</v>
      </c>
      <c r="C47" t="str">
        <v>Gifts &amp; Return Gifts</v>
      </c>
      <c r="D47" s="1">
        <v>5000</v>
      </c>
      <c r="E47" s="2" t="str">
        <v/>
      </c>
      <c r="F47" t="str">
        <v/>
      </c>
    </row>
    <row r="48">
      <c r="A48" t="str">
        <v>0421ab42</v>
      </c>
      <c r="B48" t="str">
        <v>Petrol Glanza</v>
      </c>
      <c r="C48" t="str">
        <v>Miscellaneous</v>
      </c>
      <c r="D48" s="1">
        <v>4000</v>
      </c>
      <c r="E48" s="2" t="str">
        <v/>
      </c>
      <c r="F48" t="str">
        <v/>
      </c>
    </row>
    <row r="49">
      <c r="A49" t="str">
        <v>fed12b4d</v>
      </c>
      <c r="B49" t="str">
        <v>Petrol Glanza Darga visit</v>
      </c>
      <c r="C49" t="str">
        <v>Transport</v>
      </c>
      <c r="D49" s="1">
        <v>3226</v>
      </c>
      <c r="E49" s="2" t="str">
        <v/>
      </c>
      <c r="F49" t="str">
        <v/>
      </c>
    </row>
    <row r="50">
      <c r="A50" t="str">
        <v>84c049af</v>
      </c>
      <c r="B50" t="str">
        <v>Petrol Glanza, Himalyan, PUC, Wheel Alingment, Engine cover Advance</v>
      </c>
      <c r="C50" t="str">
        <v>Transport</v>
      </c>
      <c r="D50" s="1">
        <v>4000</v>
      </c>
      <c r="E50" s="2" t="str">
        <v/>
      </c>
      <c r="F50" t="str">
        <v/>
      </c>
    </row>
    <row r="51">
      <c r="A51" t="str">
        <v>beb44857</v>
      </c>
      <c r="B51" t="str">
        <v>Pratap films and Photography</v>
      </c>
      <c r="C51" t="str">
        <v>Photography &amp; Video</v>
      </c>
      <c r="D51" s="1">
        <v>100000</v>
      </c>
      <c r="E51" s="2" t="str">
        <v>9021598286</v>
      </c>
      <c r="F51" t="str">
        <v>Photography cost</v>
      </c>
    </row>
    <row r="52">
      <c r="A52" t="str">
        <v>89c1b231</v>
      </c>
      <c r="B52" t="str">
        <v>Pravin Masale</v>
      </c>
      <c r="C52" t="str">
        <v>Food &amp; Catering</v>
      </c>
      <c r="D52" s="1">
        <v>3345</v>
      </c>
      <c r="E52" s="2" t="str">
        <v/>
      </c>
      <c r="F52" t="str">
        <v>Pravin Masale</v>
      </c>
    </row>
    <row r="53">
      <c r="A53" t="str">
        <v>6d180155</v>
      </c>
      <c r="B53" t="str">
        <v>Prewedding shoot expences(lunch, fuel and other)</v>
      </c>
      <c r="C53" t="str">
        <v>Miscellaneous</v>
      </c>
      <c r="D53" s="1">
        <v>11840</v>
      </c>
      <c r="E53" s="2" t="str">
        <v/>
      </c>
      <c r="F53" t="str">
        <v>Prewedding shoot expences(lunch, fuel and other)</v>
      </c>
    </row>
    <row r="54">
      <c r="A54" t="str">
        <v>5ddff322</v>
      </c>
      <c r="B54" t="str">
        <v>Sehera, Har, Guche &amp; Gajre</v>
      </c>
      <c r="C54" t="str">
        <v>Decoration</v>
      </c>
      <c r="D54" s="1">
        <v>9000</v>
      </c>
      <c r="E54" s="2" t="str">
        <v/>
      </c>
      <c r="F54" t="str">
        <v/>
      </c>
    </row>
    <row r="55">
      <c r="A55" t="str">
        <v>c047acbd</v>
      </c>
      <c r="B55" t="str">
        <v>Shadi &amp; reception Rasam</v>
      </c>
      <c r="C55" t="str">
        <v>Gifts &amp; Return Gifts</v>
      </c>
      <c r="D55" s="1">
        <v>6000</v>
      </c>
      <c r="E55" s="2" t="str">
        <v/>
      </c>
      <c r="F55" t="str">
        <v/>
      </c>
    </row>
    <row r="56">
      <c r="A56" t="str">
        <v>d1aee56d</v>
      </c>
      <c r="B56" t="str">
        <v>Shireen Dress</v>
      </c>
      <c r="C56" t="str">
        <v>Clothing &amp; Jewellery</v>
      </c>
      <c r="D56" s="1">
        <v>2000</v>
      </c>
      <c r="E56" s="2" t="str">
        <v/>
      </c>
      <c r="F56" t="str">
        <v>Shireen Dress</v>
      </c>
    </row>
    <row r="57">
      <c r="A57" t="str">
        <v>04ece648</v>
      </c>
      <c r="B57" t="str">
        <v>Soyarik mangal karyalay</v>
      </c>
      <c r="C57" t="str">
        <v>Venue &amp; Hall</v>
      </c>
      <c r="D57" s="1">
        <v>105000</v>
      </c>
      <c r="E57" s="2" t="str">
        <v>9850444117</v>
      </c>
      <c r="F57" t="str">
        <v>venue for reception</v>
      </c>
    </row>
    <row r="58">
      <c r="A58" t="str">
        <v>bd5f8d26</v>
      </c>
      <c r="B58" t="str">
        <v>Star Bazaar - Prewedding dress</v>
      </c>
      <c r="C58" t="str">
        <v>Clothing &amp; Jewellery</v>
      </c>
      <c r="D58" s="1">
        <v>6190</v>
      </c>
      <c r="E58" s="2" t="str">
        <v/>
      </c>
      <c r="F58" t="str">
        <v>Prewedding dress</v>
      </c>
    </row>
    <row r="59">
      <c r="A59" t="str">
        <v>9b3747da</v>
      </c>
      <c r="B59" t="str">
        <v>tampo traveller</v>
      </c>
      <c r="C59" t="str">
        <v>Transport</v>
      </c>
      <c r="D59" s="1">
        <v>7500</v>
      </c>
      <c r="E59" s="2" t="str">
        <v/>
      </c>
      <c r="F59" t="str">
        <v/>
      </c>
    </row>
    <row r="60">
      <c r="A60" t="str">
        <v>db4969e8</v>
      </c>
      <c r="B60" t="str">
        <v>Tushar Traders Oil</v>
      </c>
      <c r="C60" t="str">
        <v>Food &amp; Catering</v>
      </c>
      <c r="D60" s="1">
        <v>5100</v>
      </c>
      <c r="E60" s="2" t="str">
        <v/>
      </c>
      <c r="F60" t="str">
        <v>Tushar Traders Oil</v>
      </c>
    </row>
    <row r="61">
      <c r="A61" t="str">
        <v>9961a7bb</v>
      </c>
      <c r="B61" t="str">
        <v>Untracked expenses Petrol, Food, small bills</v>
      </c>
      <c r="C61" t="str">
        <v>Miscellaneous</v>
      </c>
      <c r="D61" s="1">
        <v>9150</v>
      </c>
      <c r="E61" s="2" t="str">
        <v/>
      </c>
      <c r="F61" t="str">
        <v/>
      </c>
    </row>
  </sheetData>
  <autoFilter ref="A1:F61"/>
  <ignoredErrors>
    <ignoredError numberStoredAsText="1" sqref="A1:F6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1cdb3048</v>
      </c>
      <c r="B65" t="str">
        <v>bf56437c</v>
      </c>
      <c r="C65" t="str">
        <v>Gold &amp; Silver</v>
      </c>
      <c r="D65" s="3">
        <v>46299</v>
      </c>
      <c r="E65" s="1">
        <v>1070000</v>
      </c>
      <c r="F65" t="str">
        <v>Umar Sayyed (Father)</v>
      </c>
      <c r="G65" t="str">
        <v>Cash</v>
      </c>
      <c r="H65" t="str">
        <v/>
      </c>
    </row>
    <row r="66">
      <c r="A66" t="str">
        <v>fc7adcbd</v>
      </c>
      <c r="B66" t="str">
        <v>04ece648</v>
      </c>
      <c r="C66" t="str">
        <v>Soyarik mangal karyalay</v>
      </c>
      <c r="D66" s="3">
        <v>46300</v>
      </c>
      <c r="E66" s="1">
        <v>15000</v>
      </c>
      <c r="F66" t="str">
        <v>Umar Sayyed (Father)</v>
      </c>
      <c r="G66" t="str">
        <v>Cash</v>
      </c>
      <c r="H66" t="str">
        <v>payment done</v>
      </c>
    </row>
    <row r="67">
      <c r="A67" t="str">
        <v>384605f7</v>
      </c>
      <c r="B67" t="str">
        <v>22ff3fb2</v>
      </c>
      <c r="C67" t="str">
        <v>chair arrangment soyarik gardan</v>
      </c>
      <c r="D67" s="3">
        <v>46300</v>
      </c>
      <c r="E67" s="1">
        <v>2000</v>
      </c>
      <c r="F67" t="str">
        <v>Umar Sayyed (Father)</v>
      </c>
      <c r="G67" t="str">
        <v>Cash</v>
      </c>
      <c r="H67" t="str">
        <v/>
      </c>
    </row>
    <row r="68">
      <c r="A68" t="str">
        <v>d08ebf7d</v>
      </c>
      <c r="B68" t="str">
        <v>9b3747da</v>
      </c>
      <c r="C68" t="str">
        <v>tampo traveller</v>
      </c>
      <c r="D68" s="3">
        <v>46300</v>
      </c>
      <c r="E68" s="1">
        <v>7500</v>
      </c>
      <c r="F68" t="str">
        <v>Umar Sayyed (Father)</v>
      </c>
      <c r="G68" t="str">
        <v>Cash</v>
      </c>
      <c r="H68" t="str">
        <v>cash</v>
      </c>
    </row>
    <row r="69">
      <c r="A69" t="str">
        <v>c193f7b5</v>
      </c>
      <c r="B69" t="str">
        <v>9299bcdc</v>
      </c>
      <c r="C69" t="str">
        <v>Patti mudekhai</v>
      </c>
      <c r="D69" s="3">
        <v>46300</v>
      </c>
      <c r="E69" s="1">
        <v>5000</v>
      </c>
      <c r="F69" t="str">
        <v>Waheeda (mother)</v>
      </c>
      <c r="G69" t="str">
        <v>UPI</v>
      </c>
      <c r="H69" t="str">
        <v/>
      </c>
    </row>
    <row r="70">
      <c r="A70" t="str">
        <v>5a34da87</v>
      </c>
      <c r="B70" t="str">
        <v>fed12b4d</v>
      </c>
      <c r="C70" t="str">
        <v>Petrol Glanza Darga visit</v>
      </c>
      <c r="D70" s="3">
        <v>46301</v>
      </c>
      <c r="E70" s="1">
        <v>3226</v>
      </c>
      <c r="F70" t="str">
        <v>Umar Sayyed (Father)</v>
      </c>
      <c r="G70" t="str">
        <v>Debit Card</v>
      </c>
      <c r="H70" t="str">
        <v/>
      </c>
    </row>
    <row r="71">
      <c r="A71" t="str">
        <v>3adcd8de</v>
      </c>
      <c r="B71" t="str">
        <v>4d3bd5b1</v>
      </c>
      <c r="C71" t="str">
        <v>Ganesh Bhondve Mandva + decoration</v>
      </c>
      <c r="D71" s="3">
        <v>46302</v>
      </c>
      <c r="E71" s="1">
        <v>24000</v>
      </c>
      <c r="F71" t="str">
        <v>Asif Sayyed (Son)</v>
      </c>
      <c r="G71" t="str">
        <v>UPI</v>
      </c>
      <c r="H71" t="str">
        <v>Final payment</v>
      </c>
    </row>
    <row r="72">
      <c r="A72" t="str">
        <v>4f298a0d</v>
      </c>
      <c r="B72" t="str">
        <v>631875ca</v>
      </c>
      <c r="C72" t="str">
        <v>Day night Flower Decoration - (hall)</v>
      </c>
      <c r="D72" s="3">
        <v>46302</v>
      </c>
      <c r="E72" s="1">
        <v>20000</v>
      </c>
      <c r="F72" t="str">
        <v>Asif Sayyed (Son)</v>
      </c>
      <c r="G72" t="str">
        <v>UPI</v>
      </c>
      <c r="H72" t="str">
        <v>Installment</v>
      </c>
    </row>
    <row r="73">
      <c r="A73" t="str">
        <v>141e8fbb</v>
      </c>
      <c r="B73" t="str">
        <v>4d3bd5b1</v>
      </c>
      <c r="C73" t="str">
        <v>Ganesh Bhondve Mandva + decoration</v>
      </c>
      <c r="D73" s="3">
        <v>46302</v>
      </c>
      <c r="E73" s="1">
        <v>500</v>
      </c>
      <c r="F73" t="str">
        <v>Asif Sayyed (Son)</v>
      </c>
      <c r="G73" t="str">
        <v>UPI</v>
      </c>
      <c r="H73" t="str">
        <v>paid</v>
      </c>
    </row>
    <row r="74">
      <c r="A74" t="str">
        <v>738b696a</v>
      </c>
      <c r="B74" t="str">
        <v>f31def6e</v>
      </c>
      <c r="C74" t="str">
        <v>Music in reception &amp; sangit</v>
      </c>
      <c r="D74" s="3">
        <v>46302</v>
      </c>
      <c r="E74" s="1">
        <v>13000</v>
      </c>
      <c r="F74" t="str">
        <v>Umar Sayyed (Father)</v>
      </c>
      <c r="G74" t="str">
        <v>Cash</v>
      </c>
      <c r="H74" t="str">
        <v/>
      </c>
    </row>
    <row r="75">
      <c r="A75" t="str">
        <v>ad864ef1</v>
      </c>
      <c r="B75" t="str">
        <v>c047acbd</v>
      </c>
      <c r="C75" t="str">
        <v>Shadi &amp; reception Rasam</v>
      </c>
      <c r="D75" s="3">
        <v>46302</v>
      </c>
      <c r="E75" s="1">
        <v>6000</v>
      </c>
      <c r="F75" t="str">
        <v>Umar Sayyed (Father)</v>
      </c>
      <c r="G75" t="str">
        <v>Cash</v>
      </c>
      <c r="H75" t="str">
        <v/>
      </c>
    </row>
    <row r="76">
      <c r="A76" t="str">
        <v>da6b0ec5</v>
      </c>
      <c r="B76" t="str">
        <v>631875ca</v>
      </c>
      <c r="C76" t="str">
        <v>Day night Flower Decoration - (hall)</v>
      </c>
      <c r="D76" s="3">
        <v>46303</v>
      </c>
      <c r="E76" s="1">
        <v>33000</v>
      </c>
      <c r="F76" t="str">
        <v>Asif Sayyed (Son)</v>
      </c>
      <c r="G76" t="str">
        <v>UPI</v>
      </c>
      <c r="H76" t="str">
        <v>Payment done</v>
      </c>
    </row>
    <row r="77">
      <c r="A77" t="str">
        <v>658c49d2</v>
      </c>
      <c r="B77" t="str">
        <v>168b7bbd</v>
      </c>
      <c r="C77" t="str">
        <v>Huseni Caterers</v>
      </c>
      <c r="D77" s="3">
        <v>46303</v>
      </c>
      <c r="E77" s="1">
        <v>125000</v>
      </c>
      <c r="F77" t="str">
        <v>Umar Sayyed (Father)</v>
      </c>
      <c r="G77" t="str">
        <v>Cash</v>
      </c>
      <c r="H77" t="str">
        <v>Final payment</v>
      </c>
    </row>
    <row r="78">
      <c r="A78" t="str">
        <v>80e653df</v>
      </c>
      <c r="B78" t="str">
        <v>beb44857</v>
      </c>
      <c r="C78" t="str">
        <v>Pratap films and Photography</v>
      </c>
      <c r="D78" s="3">
        <v>46303</v>
      </c>
      <c r="E78" s="1">
        <v>30000</v>
      </c>
      <c r="F78" t="str">
        <v>Asif Sayyed (Son)</v>
      </c>
      <c r="G78" t="str">
        <v>UPI</v>
      </c>
      <c r="H78" t="str">
        <v>Second last installment</v>
      </c>
    </row>
    <row r="79">
      <c r="A79" t="str">
        <v>bb9651a4</v>
      </c>
      <c r="B79" t="str">
        <v>f7330587</v>
      </c>
      <c r="C79" t="str">
        <v>Lunch After Mariage Shiv Sunder</v>
      </c>
      <c r="D79" s="3">
        <v>46303</v>
      </c>
      <c r="E79" s="1">
        <v>2700</v>
      </c>
      <c r="F79" t="str">
        <v>Waheeda (mother)</v>
      </c>
      <c r="G79" t="str">
        <v>UPI</v>
      </c>
      <c r="H79" t="str">
        <v/>
      </c>
    </row>
    <row r="80">
      <c r="A80" t="str">
        <v>79cb1a7e</v>
      </c>
      <c r="B80" t="str">
        <v>22ff3fb2</v>
      </c>
      <c r="C80" t="str">
        <v>chair arrangment soyarik gardan</v>
      </c>
      <c r="D80" s="3">
        <v>46306</v>
      </c>
      <c r="E80" s="1">
        <v>1000</v>
      </c>
      <c r="F80" t="str">
        <v>Umar Sayyed (Father)</v>
      </c>
      <c r="G80" t="str">
        <v>Cash</v>
      </c>
      <c r="H80" t="str">
        <v>final payment</v>
      </c>
    </row>
    <row r="81">
      <c r="A81" t="str">
        <v>fcb3d16a</v>
      </c>
      <c r="B81" t="str">
        <v>70d7465c</v>
      </c>
      <c r="C81" t="str">
        <v>3 kg asli ghee</v>
      </c>
      <c r="D81" s="3">
        <v>46306</v>
      </c>
      <c r="E81" s="1">
        <v>1830</v>
      </c>
      <c r="F81" t="str">
        <v>Umar Sayyed (Father)</v>
      </c>
      <c r="G81" t="str">
        <v>Cash</v>
      </c>
      <c r="H81" t="str">
        <v/>
      </c>
    </row>
  </sheetData>
  <autoFilter ref="A1:H81"/>
  <ignoredErrors>
    <ignoredError numberStoredAsText="1" sqref="A1:H8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Gold &amp; Silver</v>
      </c>
      <c r="B25" t="str">
        <v>Clothing &amp; Jewellery</v>
      </c>
      <c r="C25" s="1">
        <v>1070000</v>
      </c>
      <c r="D25" s="1">
        <f>SUMIF('Payments'!$C:$C,$A25,'Payments'!$E:$E)</f>
        <v>1070000</v>
      </c>
      <c r="E25" s="1">
        <f>C25-D25</f>
        <v>0</v>
      </c>
    </row>
    <row r="26">
      <c r="A26" t="str">
        <v>Groom haircut and other saloon expences</v>
      </c>
      <c r="B26" t="str">
        <v>Beauty &amp; Mehendi</v>
      </c>
      <c r="C26" s="1">
        <v>500</v>
      </c>
      <c r="D26" s="1">
        <f>SUMIF('Payments'!$C:$C,$A26,'Payments'!$E:$E)</f>
        <v>500</v>
      </c>
      <c r="E26" s="1">
        <f>C26-D26</f>
        <v>0</v>
      </c>
    </row>
    <row r="27">
      <c r="A27" t="str">
        <v>Huseni Caterers</v>
      </c>
      <c r="B27" t="str">
        <v>Food &amp; Catering</v>
      </c>
      <c r="C27" s="1">
        <v>575000</v>
      </c>
      <c r="D27" s="1">
        <f>SUMIF('Payments'!$C:$C,$A27,'Payments'!$E:$E)</f>
        <v>575000</v>
      </c>
      <c r="E27" s="1">
        <f>C27-D27</f>
        <v>0</v>
      </c>
    </row>
    <row r="28">
      <c r="A28" t="str">
        <v>Ice Cream, vada pav, Irani Cafe, Milk</v>
      </c>
      <c r="B28" t="str">
        <v>Food &amp; Catering</v>
      </c>
      <c r="C28" s="1">
        <v>3000</v>
      </c>
      <c r="D28" s="1">
        <f>SUMIF('Payments'!$C:$C,$A28,'Payments'!$E:$E)</f>
        <v>3000</v>
      </c>
      <c r="E28" s="1">
        <f>C28-D28</f>
        <v>0</v>
      </c>
    </row>
    <row r="29">
      <c r="A29" t="str">
        <v>Invitation Card (Shubham)</v>
      </c>
      <c r="B29" t="str">
        <v>Invitations &amp; Printing</v>
      </c>
      <c r="C29" s="1">
        <v>1500</v>
      </c>
      <c r="D29" s="1">
        <f>SUMIF('Payments'!$C:$C,$A29,'Payments'!$E:$E)</f>
        <v>1500</v>
      </c>
      <c r="E29" s="1">
        <f>C29-D29</f>
        <v>0</v>
      </c>
    </row>
    <row r="30">
      <c r="A30" t="str">
        <v>Invitation Card (treaditional)</v>
      </c>
      <c r="B30" t="str">
        <v>Invitations &amp; Printing</v>
      </c>
      <c r="C30" s="1">
        <v>3675</v>
      </c>
      <c r="D30" s="1">
        <f>SUMIF('Payments'!$C:$C,$A30,'Payments'!$E:$E)</f>
        <v>3675</v>
      </c>
      <c r="E30" s="1">
        <f>C30-D30</f>
        <v>0</v>
      </c>
    </row>
    <row r="31">
      <c r="A31" t="str">
        <v>Lucky Mattan Shop (Bakra for haldi)</v>
      </c>
      <c r="B31" t="str">
        <v>Food &amp; Catering</v>
      </c>
      <c r="C31" s="1">
        <v>10000</v>
      </c>
      <c r="D31" s="1">
        <f>SUMIF('Payments'!$C:$C,$A31,'Payments'!$E:$E)</f>
        <v>10000</v>
      </c>
      <c r="E31" s="1">
        <f>C31-D31</f>
        <v>0</v>
      </c>
    </row>
    <row r="32">
      <c r="A32" t="str">
        <v>Lunch After Mariage Shiv Sunder</v>
      </c>
      <c r="B32" t="str">
        <v>Food &amp; Catering</v>
      </c>
      <c r="C32" s="1">
        <v>2700</v>
      </c>
      <c r="D32" s="1">
        <f>SUMIF('Payments'!$C:$C,$A32,'Payments'!$E:$E)</f>
        <v>2700</v>
      </c>
      <c r="E32" s="1">
        <f>C32-D32</f>
        <v>0</v>
      </c>
    </row>
    <row r="33">
      <c r="A33" t="str">
        <v>Meher Amount</v>
      </c>
      <c r="B33" t="str">
        <v>Gifts &amp; Return Gifts</v>
      </c>
      <c r="C33" s="1">
        <v>11111</v>
      </c>
      <c r="D33" s="1">
        <f>SUMIF('Payments'!$C:$C,$A33,'Payments'!$E:$E)</f>
        <v>11111</v>
      </c>
      <c r="E33" s="1">
        <f>C33-D33</f>
        <v>0</v>
      </c>
    </row>
    <row r="34">
      <c r="A34" t="str">
        <v>miscellaneous ratjaka (chicken, tags, bartan)</v>
      </c>
      <c r="B34" t="str">
        <v>Venue &amp; Hall</v>
      </c>
      <c r="C34" s="1">
        <v>5412</v>
      </c>
      <c r="D34" s="1">
        <f>SUMIF('Payments'!$C:$C,$A34,'Payments'!$E:$E)</f>
        <v>5412</v>
      </c>
      <c r="E34" s="1">
        <f>C34-D34</f>
        <v>0</v>
      </c>
    </row>
    <row r="35">
      <c r="A35" t="str">
        <v>Mom Miscellaneous Bangals, Area cleaning other expence</v>
      </c>
      <c r="B35" t="str">
        <v>Miscellaneous</v>
      </c>
      <c r="C35" s="1">
        <v>15000</v>
      </c>
      <c r="D35" s="1">
        <f>SUMIF('Payments'!$C:$C,$A35,'Payments'!$E:$E)</f>
        <v>15000</v>
      </c>
      <c r="E35" s="1">
        <f>C35-D35</f>
        <v>0</v>
      </c>
    </row>
    <row r="36">
      <c r="A36" t="str">
        <v>Moolchand - Bride reception dress</v>
      </c>
      <c r="B36" t="str">
        <v>Clothing &amp; Jewellery</v>
      </c>
      <c r="C36" s="1">
        <v>7604</v>
      </c>
      <c r="D36" s="1">
        <f>SUMIF('Payments'!$C:$C,$A36,'Payments'!$E:$E)</f>
        <v>7604</v>
      </c>
      <c r="E36" s="1">
        <f>C36-D36</f>
        <v>0</v>
      </c>
    </row>
    <row r="37">
      <c r="A37" t="str">
        <v>Moolchand Sarees basta</v>
      </c>
      <c r="B37" t="str">
        <v>Clothing &amp; Jewellery</v>
      </c>
      <c r="C37" s="1">
        <v>24880</v>
      </c>
      <c r="D37" s="1">
        <f>SUMIF('Payments'!$C:$C,$A37,'Payments'!$E:$E)</f>
        <v>24880</v>
      </c>
      <c r="E37" s="1">
        <f>C37-D37</f>
        <v>0</v>
      </c>
    </row>
    <row r="38">
      <c r="A38" t="str">
        <v>Morya Collections - Groom wedding dress</v>
      </c>
      <c r="B38" t="str">
        <v>Clothing &amp; Jewellery</v>
      </c>
      <c r="C38" s="1">
        <v>13680</v>
      </c>
      <c r="D38" s="1">
        <f>SUMIF('Payments'!$C:$C,$A38,'Payments'!$E:$E)</f>
        <v>13680</v>
      </c>
      <c r="E38" s="1">
        <f>C38-D38</f>
        <v>0</v>
      </c>
    </row>
    <row r="39">
      <c r="A39" t="str">
        <v>Morya mojadii</v>
      </c>
      <c r="B39" t="str">
        <v>Clothing &amp; Jewellery</v>
      </c>
      <c r="C39" s="1">
        <v>400</v>
      </c>
      <c r="D39" s="1">
        <f>SUMIF('Payments'!$C:$C,$A39,'Payments'!$E:$E)</f>
        <v>400</v>
      </c>
      <c r="E39" s="1">
        <f>C39-D39</f>
        <v>0</v>
      </c>
    </row>
    <row r="40">
      <c r="A40" t="str">
        <v>Mummy Hospital Expence Mate Docter</v>
      </c>
      <c r="B40" t="str">
        <v>Miscellaneous</v>
      </c>
      <c r="C40" s="1">
        <v>2900</v>
      </c>
      <c r="D40" s="1">
        <f>SUMIF('Payments'!$C:$C,$A40,'Payments'!$E:$E)</f>
        <v>2900</v>
      </c>
      <c r="E40" s="1">
        <f>C40-D40</f>
        <v>0</v>
      </c>
    </row>
    <row r="41">
      <c r="A41" t="str">
        <v>Mummy sadi</v>
      </c>
      <c r="B41" t="str">
        <v>Clothing &amp; Jewellery</v>
      </c>
      <c r="C41" s="1">
        <v>1600</v>
      </c>
      <c r="D41" s="1">
        <f>SUMIF('Payments'!$C:$C,$A41,'Payments'!$E:$E)</f>
        <v>1600</v>
      </c>
      <c r="E41" s="1">
        <f>C41-D41</f>
        <v>0</v>
      </c>
    </row>
    <row r="42">
      <c r="A42" t="str">
        <v>Music in reception &amp; sangit</v>
      </c>
      <c r="B42" t="str">
        <v>Music &amp; Entertainment</v>
      </c>
      <c r="C42" s="1">
        <v>13000</v>
      </c>
      <c r="D42" s="1">
        <f>SUMIF('Payments'!$C:$C,$A42,'Payments'!$E:$E)</f>
        <v>13000</v>
      </c>
      <c r="E42" s="1">
        <f>C42-D42</f>
        <v>0</v>
      </c>
    </row>
    <row r="43">
      <c r="A43" t="str">
        <v>Navkar Sales Corporation</v>
      </c>
      <c r="B43" t="str">
        <v>Food &amp; Catering</v>
      </c>
      <c r="C43" s="1">
        <v>8649</v>
      </c>
      <c r="D43" s="1">
        <f>SUMIF('Payments'!$C:$C,$A43,'Payments'!$E:$E)</f>
        <v>8649</v>
      </c>
      <c r="E43" s="1">
        <f>C43-D43</f>
        <v>0</v>
      </c>
    </row>
    <row r="44">
      <c r="A44" t="str">
        <v>New Balaji Treaders</v>
      </c>
      <c r="B44" t="str">
        <v>Food &amp; Catering</v>
      </c>
      <c r="C44" s="1">
        <v>575</v>
      </c>
      <c r="D44" s="1">
        <f>SUMIF('Payments'!$C:$C,$A44,'Payments'!$E:$E)</f>
        <v>575</v>
      </c>
      <c r="E44" s="1">
        <f>C44-D44</f>
        <v>0</v>
      </c>
    </row>
    <row r="45">
      <c r="A45" t="str">
        <v>Parag bride 3 dress</v>
      </c>
      <c r="B45" t="str">
        <v>Clothing &amp; Jewellery</v>
      </c>
      <c r="C45" s="1">
        <v>5700</v>
      </c>
      <c r="D45" s="1">
        <f>SUMIF('Payments'!$C:$C,$A45,'Payments'!$E:$E)</f>
        <v>5700</v>
      </c>
      <c r="E45" s="1">
        <f>C45-D45</f>
        <v>0</v>
      </c>
    </row>
    <row r="46">
      <c r="A46" t="str">
        <v>Parag Relative 20 dressed &amp; other cloths</v>
      </c>
      <c r="B46" t="str">
        <v>Clothing &amp; Jewellery</v>
      </c>
      <c r="C46" s="1">
        <v>24000</v>
      </c>
      <c r="D46" s="1">
        <f>SUMIF('Payments'!$C:$C,$A46,'Payments'!$E:$E)</f>
        <v>24000</v>
      </c>
      <c r="E46" s="1">
        <f>C46-D46</f>
        <v>0</v>
      </c>
    </row>
    <row r="47">
      <c r="A47" t="str">
        <v>Patti mudekhai</v>
      </c>
      <c r="B47" t="str">
        <v>Gifts &amp; Return Gifts</v>
      </c>
      <c r="C47" s="1">
        <v>5000</v>
      </c>
      <c r="D47" s="1">
        <f>SUMIF('Payments'!$C:$C,$A47,'Payments'!$E:$E)</f>
        <v>5000</v>
      </c>
      <c r="E47" s="1">
        <f>C47-D47</f>
        <v>0</v>
      </c>
    </row>
    <row r="48">
      <c r="A48" t="str">
        <v>Petrol Glanza</v>
      </c>
      <c r="B48" t="str">
        <v>Miscellaneous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Petrol Glanza Darga visit</v>
      </c>
      <c r="B49" t="str">
        <v>Transport</v>
      </c>
      <c r="C49" s="1">
        <v>3226</v>
      </c>
      <c r="D49" s="1">
        <f>SUMIF('Payments'!$C:$C,$A49,'Payments'!$E:$E)</f>
        <v>3226</v>
      </c>
      <c r="E49" s="1">
        <f>C49-D49</f>
        <v>0</v>
      </c>
    </row>
    <row r="50">
      <c r="A50" t="str">
        <v>Petrol Glanza, Himalyan, PUC, Wheel Alingment, Engine cover Advance</v>
      </c>
      <c r="B50" t="str">
        <v>Transport</v>
      </c>
      <c r="C50" s="1">
        <v>4000</v>
      </c>
      <c r="D50" s="1">
        <f>SUMIF('Payments'!$C:$C,$A50,'Payments'!$E:$E)</f>
        <v>4000</v>
      </c>
      <c r="E50" s="1">
        <f>C50-D50</f>
        <v>0</v>
      </c>
    </row>
    <row r="51">
      <c r="A51" t="str">
        <v>Pratap films and Photography</v>
      </c>
      <c r="B51" t="str">
        <v>Photography &amp; Video</v>
      </c>
      <c r="C51" s="1">
        <v>100000</v>
      </c>
      <c r="D51" s="1">
        <f>SUMIF('Payments'!$C:$C,$A51,'Payments'!$E:$E)</f>
        <v>70000</v>
      </c>
      <c r="E51" s="1">
        <f>C51-D51</f>
        <v>30000</v>
      </c>
    </row>
    <row r="52">
      <c r="A52" t="str">
        <v>Pravin Masale</v>
      </c>
      <c r="B52" t="str">
        <v>Food &amp; Catering</v>
      </c>
      <c r="C52" s="1">
        <v>3345</v>
      </c>
      <c r="D52" s="1">
        <f>SUMIF('Payments'!$C:$C,$A52,'Payments'!$E:$E)</f>
        <v>3345</v>
      </c>
      <c r="E52" s="1">
        <f>C52-D52</f>
        <v>0</v>
      </c>
    </row>
    <row r="53">
      <c r="A53" t="str">
        <v>Prewedding shoot expences(lunch, fuel and other)</v>
      </c>
      <c r="B53" t="str">
        <v>Miscellaneous</v>
      </c>
      <c r="C53" s="1">
        <v>11840</v>
      </c>
      <c r="D53" s="1">
        <f>SUMIF('Payments'!$C:$C,$A53,'Payments'!$E:$E)</f>
        <v>11840</v>
      </c>
      <c r="E53" s="1">
        <f>C53-D53</f>
        <v>0</v>
      </c>
    </row>
    <row r="54">
      <c r="A54" t="str">
        <v>Sehera, Har, Guche &amp; Gajre</v>
      </c>
      <c r="B54" t="str">
        <v>Decoration</v>
      </c>
      <c r="C54" s="1">
        <v>9000</v>
      </c>
      <c r="D54" s="1">
        <f>SUMIF('Payments'!$C:$C,$A54,'Payments'!$E:$E)</f>
        <v>9000</v>
      </c>
      <c r="E54" s="1">
        <f>C54-D54</f>
        <v>0</v>
      </c>
    </row>
    <row r="55">
      <c r="A55" t="str">
        <v>Shadi &amp; reception Rasam</v>
      </c>
      <c r="B55" t="str">
        <v>Gifts &amp; Return Gifts</v>
      </c>
      <c r="C55" s="1">
        <v>6000</v>
      </c>
      <c r="D55" s="1">
        <f>SUMIF('Payments'!$C:$C,$A55,'Payments'!$E:$E)</f>
        <v>6000</v>
      </c>
      <c r="E55" s="1">
        <f>C55-D55</f>
        <v>0</v>
      </c>
    </row>
    <row r="56">
      <c r="A56" t="str">
        <v>Shireen Dress</v>
      </c>
      <c r="B56" t="str">
        <v>Clothing &amp; Jewellery</v>
      </c>
      <c r="C56" s="1">
        <v>2000</v>
      </c>
      <c r="D56" s="1">
        <f>SUMIF('Payments'!$C:$C,$A56,'Payments'!$E:$E)</f>
        <v>2000</v>
      </c>
      <c r="E56" s="1">
        <f>C56-D56</f>
        <v>0</v>
      </c>
    </row>
    <row r="57">
      <c r="A57" t="str">
        <v>Soyarik mangal karyalay</v>
      </c>
      <c r="B57" t="str">
        <v>Venue &amp; Hall</v>
      </c>
      <c r="C57" s="1">
        <v>105000</v>
      </c>
      <c r="D57" s="1">
        <f>SUMIF('Payments'!$C:$C,$A57,'Payments'!$E:$E)</f>
        <v>105000</v>
      </c>
      <c r="E57" s="1">
        <f>C57-D57</f>
        <v>0</v>
      </c>
    </row>
    <row r="58">
      <c r="A58" t="str">
        <v>Star Bazaar - Prewedding dress</v>
      </c>
      <c r="B58" t="str">
        <v>Clothing &amp; Jewellery</v>
      </c>
      <c r="C58" s="1">
        <v>6190</v>
      </c>
      <c r="D58" s="1">
        <f>SUMIF('Payments'!$C:$C,$A58,'Payments'!$E:$E)</f>
        <v>6190</v>
      </c>
      <c r="E58" s="1">
        <f>C58-D58</f>
        <v>0</v>
      </c>
    </row>
    <row r="59">
      <c r="A59" t="str">
        <v>tampo traveller</v>
      </c>
      <c r="B59" t="str">
        <v>Transport</v>
      </c>
      <c r="C59" s="1">
        <v>7500</v>
      </c>
      <c r="D59" s="1">
        <f>SUMIF('Payments'!$C:$C,$A59,'Payments'!$E:$E)</f>
        <v>7500</v>
      </c>
      <c r="E59" s="1">
        <f>C59-D59</f>
        <v>0</v>
      </c>
    </row>
    <row r="60">
      <c r="A60" t="str">
        <v>Tushar Traders Oil</v>
      </c>
      <c r="B60" t="str">
        <v>Food &amp; Catering</v>
      </c>
      <c r="C60" s="1">
        <v>5100</v>
      </c>
      <c r="D60" s="1">
        <f>SUMIF('Payments'!$C:$C,$A60,'Payments'!$E:$E)</f>
        <v>5100</v>
      </c>
      <c r="E60" s="1">
        <f>C60-D60</f>
        <v>0</v>
      </c>
    </row>
    <row r="61">
      <c r="A61" t="str">
        <v>Untracked expenses Petrol, Food, small bills</v>
      </c>
      <c r="B61" t="str">
        <v>Miscellaneous</v>
      </c>
      <c r="C61" s="1">
        <v>9150</v>
      </c>
      <c r="D61" s="1">
        <f>SUMIF('Payments'!$C:$C,$A61,'Payments'!$E:$E)</f>
        <v>9150</v>
      </c>
      <c r="E61" s="1">
        <f>C61-D61</f>
        <v>0</v>
      </c>
    </row>
    <row r="62">
      <c r="A62" t="str">
        <v>Total</v>
      </c>
      <c r="C62" s="1">
        <f>SUM(C2:C61)</f>
        <v>2410605</v>
      </c>
      <c r="D62" s="1">
        <f>SUM(D2:D61)</f>
        <v>2380605</v>
      </c>
      <c r="E62" s="1">
        <f>SUM(E2:E61)</f>
        <v>30000</v>
      </c>
    </row>
  </sheetData>
  <ignoredErrors>
    <ignoredError numberStoredAsText="1" sqref="A1:E6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